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72051_uni_au_dk/Documents/AU Sustainable/LCA_project/FINAL_DELIVERABLES_dec19/"/>
    </mc:Choice>
  </mc:AlternateContent>
  <xr:revisionPtr revIDLastSave="3444" documentId="8_{B45ADC6C-1EF4-4100-9F85-E10D05599A17}" xr6:coauthVersionLast="47" xr6:coauthVersionMax="47" xr10:uidLastSave="{E2F48633-BFB6-4C5C-A6BD-3D7C8A894FE8}"/>
  <bookViews>
    <workbookView xWindow="-120" yWindow="-120" windowWidth="51840" windowHeight="21120" firstSheet="3" activeTab="3" xr2:uid="{4D73FD27-D7A0-4A22-B9FA-293A2EAA8239}"/>
  </bookViews>
  <sheets>
    <sheet name="Al" sheetId="2" r:id="rId1"/>
    <sheet name="CF" sheetId="1" r:id="rId2"/>
    <sheet name="CF Recycling" sheetId="5" state="hidden" r:id="rId3"/>
    <sheet name="Results" sheetId="4" r:id="rId4"/>
    <sheet name="Shipping Al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4" l="1"/>
  <c r="E28" i="4"/>
  <c r="D28" i="4"/>
  <c r="G21" i="4"/>
  <c r="D45" i="2"/>
  <c r="E9" i="5"/>
  <c r="E6" i="5"/>
  <c r="F106" i="1"/>
  <c r="G11" i="4" s="1"/>
  <c r="H79" i="1"/>
  <c r="H82" i="1"/>
  <c r="H106" i="1" s="1"/>
  <c r="G19" i="4" s="1"/>
  <c r="B69" i="1"/>
  <c r="B68" i="1"/>
  <c r="F74" i="1"/>
  <c r="G13" i="2"/>
  <c r="F91" i="1"/>
  <c r="H91" i="1"/>
  <c r="F93" i="1"/>
  <c r="H93" i="1"/>
  <c r="H92" i="1"/>
  <c r="F90" i="1"/>
  <c r="F92" i="1"/>
  <c r="G32" i="2"/>
  <c r="D43" i="2" s="1"/>
  <c r="J60" i="2"/>
  <c r="I60" i="2"/>
  <c r="J59" i="2"/>
  <c r="I59" i="2"/>
  <c r="J58" i="2"/>
  <c r="I58" i="2"/>
  <c r="D46" i="2"/>
  <c r="D41" i="2"/>
  <c r="F37" i="1"/>
  <c r="H37" i="1"/>
  <c r="I25" i="2"/>
  <c r="D38" i="2"/>
  <c r="F65" i="1"/>
  <c r="F62" i="1"/>
  <c r="F105" i="1" s="1"/>
  <c r="F38" i="1"/>
  <c r="F49" i="1"/>
  <c r="F43" i="1"/>
  <c r="F53" i="1"/>
  <c r="H90" i="1" s="1"/>
  <c r="D39" i="2"/>
  <c r="D40" i="2"/>
  <c r="D44" i="2" s="1"/>
  <c r="E21" i="4"/>
  <c r="F20" i="4" s="1"/>
  <c r="F18" i="4"/>
  <c r="F17" i="4"/>
  <c r="F16" i="4"/>
  <c r="E13" i="4"/>
  <c r="F11" i="4" s="1"/>
  <c r="F12" i="4"/>
  <c r="F22" i="2"/>
  <c r="I15" i="2"/>
  <c r="I26" i="2"/>
  <c r="H25" i="3"/>
  <c r="I29" i="2"/>
  <c r="I16" i="2"/>
  <c r="G26" i="2"/>
  <c r="G15" i="2"/>
  <c r="I28" i="2"/>
  <c r="I79" i="2" s="1"/>
  <c r="G20" i="2"/>
  <c r="I20" i="2"/>
  <c r="I19" i="2"/>
  <c r="I18" i="2"/>
  <c r="I17" i="2"/>
  <c r="G16" i="2"/>
  <c r="I13" i="2"/>
  <c r="F23" i="2"/>
  <c r="G23" i="2" s="1"/>
  <c r="G22" i="2"/>
  <c r="G24" i="2" s="1"/>
  <c r="F28" i="2"/>
  <c r="G19" i="2"/>
  <c r="G17" i="2"/>
  <c r="G18" i="2"/>
  <c r="I7" i="2"/>
  <c r="I6" i="2"/>
  <c r="I5" i="2"/>
  <c r="I4" i="2"/>
  <c r="I3" i="2"/>
  <c r="H7" i="1"/>
  <c r="H6" i="1"/>
  <c r="H5" i="1"/>
  <c r="H4" i="1"/>
  <c r="H67" i="1" s="1"/>
  <c r="H3" i="1"/>
  <c r="H64" i="1" s="1"/>
  <c r="H65" i="1" s="1"/>
  <c r="H68" i="1" l="1"/>
  <c r="D68" i="1" s="1"/>
  <c r="F44" i="1"/>
  <c r="F89" i="1" s="1"/>
  <c r="F21" i="4"/>
  <c r="F19" i="4"/>
  <c r="H89" i="1"/>
  <c r="F9" i="4"/>
  <c r="D48" i="2"/>
  <c r="F10" i="4"/>
  <c r="F8" i="4"/>
  <c r="F13" i="4" s="1"/>
  <c r="I22" i="2"/>
  <c r="I23" i="2"/>
  <c r="H33" i="1"/>
  <c r="H34" i="1"/>
  <c r="H35" i="1"/>
  <c r="H36" i="1"/>
  <c r="H42" i="1"/>
  <c r="H43" i="1" s="1"/>
  <c r="H45" i="1" s="1"/>
  <c r="F54" i="1"/>
  <c r="H48" i="1"/>
  <c r="H47" i="1"/>
  <c r="H49" i="1" s="1"/>
  <c r="H69" i="1"/>
  <c r="D69" i="1" s="1"/>
  <c r="H70" i="1"/>
  <c r="H71" i="1"/>
  <c r="H59" i="1"/>
  <c r="H58" i="1"/>
  <c r="F39" i="1"/>
  <c r="F88" i="1" l="1"/>
  <c r="F87" i="1"/>
  <c r="H74" i="1"/>
  <c r="H88" i="1"/>
  <c r="F45" i="1"/>
  <c r="H87" i="1"/>
  <c r="H86" i="1"/>
  <c r="F86" i="1"/>
  <c r="H38" i="1"/>
  <c r="H40" i="1" s="1"/>
  <c r="H62" i="1"/>
  <c r="I24" i="2"/>
  <c r="I32" i="2" s="1"/>
  <c r="D49" i="2" s="1"/>
  <c r="D51" i="2" s="1"/>
  <c r="H54" i="1"/>
  <c r="G9" i="4"/>
  <c r="F40" i="1"/>
  <c r="F100" i="1" s="1"/>
  <c r="H94" i="1" l="1"/>
  <c r="H107" i="1" s="1"/>
  <c r="G20" i="4" s="1"/>
  <c r="H105" i="1"/>
  <c r="F94" i="1"/>
  <c r="F107" i="1" s="1"/>
  <c r="G12" i="4" s="1"/>
  <c r="F104" i="1"/>
  <c r="F102" i="1"/>
  <c r="F99" i="1"/>
  <c r="F101" i="1"/>
  <c r="H104" i="1"/>
  <c r="H99" i="1"/>
  <c r="H100" i="1"/>
  <c r="H101" i="1"/>
  <c r="H102" i="1"/>
  <c r="H112" i="1" l="1"/>
  <c r="H111" i="1"/>
  <c r="H113" i="1"/>
  <c r="H115" i="1"/>
  <c r="F108" i="1"/>
  <c r="F111" i="1"/>
  <c r="G8" i="4"/>
  <c r="F115" i="1"/>
  <c r="F116" i="1"/>
  <c r="F114" i="1"/>
  <c r="F113" i="1"/>
  <c r="F112" i="1"/>
  <c r="H116" i="1"/>
  <c r="H114" i="1"/>
  <c r="G17" i="4"/>
  <c r="H108" i="1"/>
  <c r="G13" i="4"/>
  <c r="H8" i="4" l="1"/>
  <c r="H17" i="4"/>
  <c r="F33" i="4"/>
  <c r="H20" i="4"/>
  <c r="H18" i="4"/>
  <c r="H16" i="4"/>
  <c r="H19" i="4"/>
  <c r="H10" i="4"/>
  <c r="H11" i="4"/>
  <c r="H12" i="4"/>
  <c r="H9" i="4"/>
  <c r="H13" i="4" l="1"/>
  <c r="H21" i="4"/>
</calcChain>
</file>

<file path=xl/sharedStrings.xml><?xml version="1.0" encoding="utf-8"?>
<sst xmlns="http://schemas.openxmlformats.org/spreadsheetml/2006/main" count="573" uniqueCount="246">
  <si>
    <t>Reference</t>
  </si>
  <si>
    <t xml:space="preserve">1 kWh= </t>
  </si>
  <si>
    <t>MJ</t>
  </si>
  <si>
    <t>China</t>
  </si>
  <si>
    <t>gCO2/kWh</t>
  </si>
  <si>
    <t>kgCO2 eq/MJ</t>
  </si>
  <si>
    <t>Taiwan</t>
  </si>
  <si>
    <t>https://ourworldindata.org/grapher/carbon-intensity-electricity</t>
  </si>
  <si>
    <t>Japan</t>
  </si>
  <si>
    <t>Germany</t>
  </si>
  <si>
    <t>Netherlands</t>
  </si>
  <si>
    <t>heavy load. truck. no trailer. containers</t>
  </si>
  <si>
    <t>road</t>
  </si>
  <si>
    <t>MJ/t/km</t>
  </si>
  <si>
    <t>kg CO2/km/t</t>
  </si>
  <si>
    <t>https://cedelft.eu/wp-content/uploads/sites/2/2021/03/CE_Delft_190325_STREAM_Freight_Transport_2020_FINAL.pdf?utm_source=chatgpt.com</t>
  </si>
  <si>
    <t>wastage of 10% is assumed</t>
  </si>
  <si>
    <t>0-999 TEU. heavy load. containers</t>
  </si>
  <si>
    <t>ship</t>
  </si>
  <si>
    <t>long. heavy load. electric. containers</t>
  </si>
  <si>
    <t>rail</t>
  </si>
  <si>
    <t>Aluminium</t>
  </si>
  <si>
    <t xml:space="preserve">Weight </t>
  </si>
  <si>
    <t xml:space="preserve">Energy </t>
  </si>
  <si>
    <t>Unit of E</t>
  </si>
  <si>
    <t>MJ/kg</t>
  </si>
  <si>
    <t>MJ per bike ( *2.6)</t>
  </si>
  <si>
    <t>country</t>
  </si>
  <si>
    <t>kg CO2 eq per bike</t>
  </si>
  <si>
    <t xml:space="preserve">Unit of CO2 </t>
  </si>
  <si>
    <t>Country</t>
  </si>
  <si>
    <t>Ref</t>
  </si>
  <si>
    <t>Raw Material extruction:</t>
  </si>
  <si>
    <t xml:space="preserve"> 2.6 kg </t>
  </si>
  <si>
    <t>primary al Ingot</t>
  </si>
  <si>
    <t>MJ/t</t>
  </si>
  <si>
    <t>157.207 MJ/kg</t>
  </si>
  <si>
    <t>kg CO2 eq / bike</t>
  </si>
  <si>
    <t>Life Cycle Energy Consumption and Greenhouse Gas Emissions Analysis of Primary and Recycled Aluminum in China</t>
  </si>
  <si>
    <t>?</t>
  </si>
  <si>
    <t>Secondary al ingots</t>
  </si>
  <si>
    <t>11.73 MJ/kg</t>
  </si>
  <si>
    <t>Transportation:</t>
  </si>
  <si>
    <t>Ship transport
(1927.3 km)
china to taiwan</t>
  </si>
  <si>
    <t>0.00036 MJ/kg/km</t>
  </si>
  <si>
    <t>transportation</t>
  </si>
  <si>
    <t>Road transport
(327 km)
(china plant to china harbour)</t>
  </si>
  <si>
    <t xml:space="preserve"> 0.0018 MJ/kg/km</t>
  </si>
  <si>
    <t>Production:</t>
  </si>
  <si>
    <t>Extrusion</t>
  </si>
  <si>
    <t>7.63 MJ/kg</t>
  </si>
  <si>
    <t>Aluminium extrusion</t>
  </si>
  <si>
    <t>Hydroforming</t>
  </si>
  <si>
    <t xml:space="preserve"> MJ/kg</t>
  </si>
  <si>
    <t>75.6 MJ/kg</t>
  </si>
  <si>
    <t xml:space="preserve"> Hydroforming paper</t>
  </si>
  <si>
    <t>Miter cut tubes  
16 cuts</t>
  </si>
  <si>
    <t>kJ/cut</t>
  </si>
  <si>
    <t>0.1785 MJ/cut</t>
  </si>
  <si>
    <t>Miter Cut</t>
  </si>
  <si>
    <t>Tig weld
  (tot length=1.7 m)</t>
  </si>
  <si>
    <t xml:space="preserve">MJ/m </t>
  </si>
  <si>
    <t>38.3 MJ/m</t>
  </si>
  <si>
    <t>TIG welding paper    . 38.3 MJ 2.44 kg CO2  for 1 meter TIG welding  ref: Life Cycle Assessment (LCA) Results of MIG and TIG Welding Technologies Using the IMPACT 2002+ Methodology</t>
  </si>
  <si>
    <t>Heat Treating Aluminum Alloys</t>
  </si>
  <si>
    <t>Q=m*c*dT</t>
  </si>
  <si>
    <t>Heat per bike [MJ]</t>
  </si>
  <si>
    <t>Electricity per bike [MJ]</t>
  </si>
  <si>
    <t>Reynolds Metals Company . The Company. 1946 - Aluminum alloys - 144 pages</t>
  </si>
  <si>
    <t>Solution heat treatment T=520 °C</t>
  </si>
  <si>
    <t>'</t>
  </si>
  <si>
    <t>C=896 J/kg-°C   MatWeb: Online Materials Information Resource</t>
  </si>
  <si>
    <t>Aging 10 h at T=160 °C</t>
  </si>
  <si>
    <t>electrical.thermal efficiency  of furnaces=70%  "Design and construction of an electric heat treatment furnace using locally sourced materials</t>
  </si>
  <si>
    <t>total</t>
  </si>
  <si>
    <t>Painting</t>
  </si>
  <si>
    <t>MJ/bike</t>
  </si>
  <si>
    <t>12.51 MJ/bike</t>
  </si>
  <si>
    <t>ship transport
(18389.5 km)
taiwan to rotterdam</t>
  </si>
  <si>
    <t>Use phase:</t>
  </si>
  <si>
    <t>use phase</t>
  </si>
  <si>
    <t>EoL:</t>
  </si>
  <si>
    <t>shredding ( 10 cut/bike)</t>
  </si>
  <si>
    <t>MJ/cut</t>
  </si>
  <si>
    <t>recycling in netherlands</t>
  </si>
  <si>
    <t>34 MJ/kg</t>
  </si>
  <si>
    <t>Total:</t>
  </si>
  <si>
    <t>TOTAL</t>
  </si>
  <si>
    <t>MJ/Bike frame</t>
  </si>
  <si>
    <t>95 % recycling rate</t>
  </si>
  <si>
    <t>material recovered (95% recycling rate)</t>
  </si>
  <si>
    <t>material extraction energy  per kg AL</t>
  </si>
  <si>
    <t>energy recovered per bike frame</t>
  </si>
  <si>
    <t>Kg Co2 eg displaced per bike frame (Netherlands)</t>
  </si>
  <si>
    <t>Total energy required for manf per bike</t>
  </si>
  <si>
    <t>MJ/bike frame</t>
  </si>
  <si>
    <t>Total kg of CO2 eq per bike frame</t>
  </si>
  <si>
    <t xml:space="preserve">Net energy for producing one bike frame </t>
  </si>
  <si>
    <t>Net CO2 eq emitted per bike frame</t>
  </si>
  <si>
    <t>Manufacturing phase</t>
  </si>
  <si>
    <t>EOL</t>
  </si>
  <si>
    <t>Reference:</t>
  </si>
  <si>
    <t>kgCO2 eq./MJ</t>
  </si>
  <si>
    <t xml:space="preserve">Aluminium: </t>
  </si>
  <si>
    <t>kg CO2 eq</t>
  </si>
  <si>
    <t>kg CO2 eq / t</t>
  </si>
  <si>
    <t>Ship transport. 13,000 km</t>
  </si>
  <si>
    <t>CO2 eq/km/t</t>
  </si>
  <si>
    <t xml:space="preserve">Rail transport. 630 km </t>
  </si>
  <si>
    <t>EcoTransit database</t>
  </si>
  <si>
    <t>CO2 eq/kg</t>
  </si>
  <si>
    <t>Miter cut tubes  16 cuts</t>
  </si>
  <si>
    <t xml:space="preserve"> kg CO2/cut</t>
  </si>
  <si>
    <t>Tig weld  (tot length=1.7 m)</t>
  </si>
  <si>
    <t>kg CO2/m</t>
  </si>
  <si>
    <t>Reynolds Metals Company . The Company, 1946 - Aluminum alloys - 144 pages</t>
  </si>
  <si>
    <t>electrical.thermal efficiency  of furnaces=70%  "Design and construction of an electric heat treatment furnace using locally sourced materials
Anaidhuno UP J111 and Ologe SO , World Journal of Advanced Research and Reviews, 2024, 22(02), 175–184</t>
  </si>
  <si>
    <t xml:space="preserve">same as carbon paint </t>
  </si>
  <si>
    <t>same as carbon paint</t>
  </si>
  <si>
    <t>ask professor, no resources…</t>
  </si>
  <si>
    <t>Transportation</t>
  </si>
  <si>
    <t>heavy load, truck, no trailer, containers</t>
  </si>
  <si>
    <t>kg CO2 eq./km/t</t>
  </si>
  <si>
    <t>0-999 TEU, heavy load, containers</t>
  </si>
  <si>
    <t>long, heavy load, electric, containers</t>
  </si>
  <si>
    <t>Carbon Fiber:</t>
  </si>
  <si>
    <t>Energy</t>
  </si>
  <si>
    <t>Unit</t>
  </si>
  <si>
    <t>CO2 eq. emission</t>
  </si>
  <si>
    <t>Fiber production:</t>
  </si>
  <si>
    <t>Polymerization</t>
  </si>
  <si>
    <t>kg CO2 eq./kg</t>
  </si>
  <si>
    <t>Manufacturing Energy Intensity and Opportunity Analysis for Fiber-Reinforced Polymer Composites</t>
  </si>
  <si>
    <t>Wet spinning</t>
  </si>
  <si>
    <t>Oxidation/ Carbonisation</t>
  </si>
  <si>
    <t>Finish/ Surface treatment</t>
  </si>
  <si>
    <t>60 km road, 280km ship. Masaki - Matsuyama - Osaka - Otsu</t>
  </si>
  <si>
    <t>http://ports.com/sea-route/port-of-matsuyama,japan/port-of-santos,brazil/#/?a=4669&amp;b=0&amp;c=Port%20of%20Tokyo,%20Japan&amp;d=Port%20of%20Osaka</t>
  </si>
  <si>
    <t>total per kg:</t>
  </si>
  <si>
    <t>weight</t>
  </si>
  <si>
    <t>kg</t>
  </si>
  <si>
    <t>total for one bike:</t>
  </si>
  <si>
    <t>kg CO2 eq./ bike</t>
  </si>
  <si>
    <t>Resin production:</t>
  </si>
  <si>
    <t>epoxy resin</t>
  </si>
  <si>
    <t>NEGOITA C</t>
  </si>
  <si>
    <t>kg CO2 eq. / bike</t>
  </si>
  <si>
    <t>prepreg production:</t>
  </si>
  <si>
    <t>prepregging</t>
  </si>
  <si>
    <t>cooling</t>
  </si>
  <si>
    <t>fiber content</t>
  </si>
  <si>
    <t>prepreg cutting loss</t>
  </si>
  <si>
    <t>Reuse and upcycling of aerospace prepreg scrap and waste</t>
  </si>
  <si>
    <t>post-demold cutting loss</t>
  </si>
  <si>
    <t>assumptions</t>
  </si>
  <si>
    <t>mold production:</t>
  </si>
  <si>
    <t>Aluminium block recycling</t>
  </si>
  <si>
    <t>kg CO2 eq./t</t>
  </si>
  <si>
    <t>recycled</t>
  </si>
  <si>
    <t>https://grabcad.com/library/carbon-bike-frame-press-mold-1</t>
  </si>
  <si>
    <t>milling</t>
  </si>
  <si>
    <t>kg CO2 eq.</t>
  </si>
  <si>
    <r>
      <rPr>
        <u/>
        <sz val="11"/>
        <color rgb="FF467886"/>
        <rFont val="Aptos Narrow"/>
        <family val="2"/>
      </rPr>
      <t xml:space="preserve">https://onlinelibrary.wiley.com/doi/epdf/10.1155/2020/5687951
</t>
    </r>
    <r>
      <rPr>
        <sz val="11"/>
        <color rgb="FF000000"/>
        <rFont val="Aptos Narrow"/>
        <family val="2"/>
      </rPr>
      <t>20 kg milled, 10% with lowest surface roughness, 90% with highest surface roughness, total of 250 MJ used</t>
    </r>
  </si>
  <si>
    <t>postprocessing</t>
  </si>
  <si>
    <t>polishing - assumption</t>
  </si>
  <si>
    <t>Amount bikes from mold</t>
  </si>
  <si>
    <t>Units</t>
  </si>
  <si>
    <t>kg CO2  eq./ bike</t>
  </si>
  <si>
    <t>paint production:</t>
  </si>
  <si>
    <t>basecode &amp; paint</t>
  </si>
  <si>
    <t>GaBi, this data is just assumption at the moment</t>
  </si>
  <si>
    <t>frame production:</t>
  </si>
  <si>
    <t>prepreg cutting</t>
  </si>
  <si>
    <t>calculated from the provided data on laser cutter consumption without the laser. I assumed 20 mm/s cutting speeds, 300x150mm size peices to cut, 35% waste after cutting, 5% after demolding, and a bit overhead on the current of the laser motors (0.7+0.1). The prepreg is 145g/m2, the weight can be calculated, from this the total amount of prepreg needed in m2, and the total length needed to cut from the average cut sizes.</t>
  </si>
  <si>
    <t>Hand lay-up</t>
  </si>
  <si>
    <t>curing in autoclave</t>
  </si>
  <si>
    <t>~1,5MJ for cutting off access material, ~1.5 for sanding</t>
  </si>
  <si>
    <t>basecoding &amp; painting</t>
  </si>
  <si>
    <t>weight frame total:</t>
  </si>
  <si>
    <t>weight paint :</t>
  </si>
  <si>
    <t>End-of-Life:</t>
  </si>
  <si>
    <t>Landfill</t>
  </si>
  <si>
    <t>https://pubs.acs.org/doi/epdf/10.1021/acssuschemeng.8b01026?ref=article_openPDF</t>
  </si>
  <si>
    <t>https://doi.org/10.1016/j.compositesb.2019.107665</t>
  </si>
  <si>
    <t>Incineration</t>
  </si>
  <si>
    <t>Incineration recovery</t>
  </si>
  <si>
    <t>https:// doi.org/10.1016/j.compositesa.2013.02.009</t>
  </si>
  <si>
    <t>https://doi.org/10.1016/j.compositesb.2019.107662</t>
  </si>
  <si>
    <t>https://doi.org/10.1557/mrs.2012.33</t>
  </si>
  <si>
    <t>Mechanical rcl</t>
  </si>
  <si>
    <t>https://doi.org/10.1016/j.compositesb.2019.107663</t>
  </si>
  <si>
    <t>https://doi.org/10.1016/j.jclepro.2014.06.023</t>
  </si>
  <si>
    <t>Pyrolysis rcl</t>
  </si>
  <si>
    <t>https://doi.org/10.1016/j.compositesb.2019.107664</t>
  </si>
  <si>
    <t>Fluidized bed rcl</t>
  </si>
  <si>
    <t>Solvolysis</t>
  </si>
  <si>
    <t>Fiber:</t>
  </si>
  <si>
    <t>g CO2 eq./bike</t>
  </si>
  <si>
    <t>Resin:</t>
  </si>
  <si>
    <t>Hardeners, 120 km road, 280km ship. Niihama - Matsuyama - Osaka - Otsu, 5% of the resin weight</t>
  </si>
  <si>
    <t>Additives, 100 km road, 800 km ship. Sodegaura - Tokyo - Osaka - Otsu, 5% of the resin weight</t>
  </si>
  <si>
    <t>Epichlorohydrin and Bisphenol-A (BPA), 60km road, 600km ship. Kamisu - Kashima - Osaka - Otsu</t>
  </si>
  <si>
    <t>prepreg:</t>
  </si>
  <si>
    <t>50 km road, 1900km cargo. Otsu - Osaka - Taichung</t>
  </si>
  <si>
    <t>mold alu:</t>
  </si>
  <si>
    <t>320km train, 1400 cargo. Binzhou - Qingdao - Thaichung</t>
  </si>
  <si>
    <t>paint:</t>
  </si>
  <si>
    <t>1700 km ship, Tianjin - Taichung</t>
  </si>
  <si>
    <t>frame:</t>
  </si>
  <si>
    <t>130km road, 18390km ship, Taichung - Rotterdam - Heerenberg</t>
  </si>
  <si>
    <t>Scenario 1:</t>
  </si>
  <si>
    <t>kg CO2 / bike</t>
  </si>
  <si>
    <t>Scenario 2:</t>
  </si>
  <si>
    <t>Scenario 3:</t>
  </si>
  <si>
    <t>Scenario 4:</t>
  </si>
  <si>
    <t>raw material extraction:</t>
  </si>
  <si>
    <t>production:</t>
  </si>
  <si>
    <t>end of life:</t>
  </si>
  <si>
    <t>Sum of all equal distributed EoL methods</t>
  </si>
  <si>
    <t>transportation:</t>
  </si>
  <si>
    <t>Net total with different EoL methods:</t>
  </si>
  <si>
    <t>kg CO2/kg</t>
  </si>
  <si>
    <t>Result Summary:</t>
  </si>
  <si>
    <t>Energy Consumption [MJ/bike]</t>
  </si>
  <si>
    <t>Aluminium Frame</t>
  </si>
  <si>
    <t>Percentages [%]</t>
  </si>
  <si>
    <t>Carbon Fiber Frame</t>
  </si>
  <si>
    <t>Raw Material Extruction</t>
  </si>
  <si>
    <t>Manufacturing</t>
  </si>
  <si>
    <t xml:space="preserve">Use Phase </t>
  </si>
  <si>
    <t>EoL</t>
  </si>
  <si>
    <t>Total</t>
  </si>
  <si>
    <t>GWP [kg CO2/bike]</t>
  </si>
  <si>
    <t>DALY</t>
  </si>
  <si>
    <t>Characterization factor</t>
  </si>
  <si>
    <t>DALY/kg CO2</t>
  </si>
  <si>
    <t>Al</t>
  </si>
  <si>
    <t>CF</t>
  </si>
  <si>
    <t>CO2 eq</t>
  </si>
  <si>
    <t>kg CO2</t>
  </si>
  <si>
    <t xml:space="preserve"> </t>
  </si>
  <si>
    <t>Carbon Fiber</t>
  </si>
  <si>
    <t>Kg Co2 eq</t>
  </si>
  <si>
    <t>Shipping</t>
  </si>
  <si>
    <t>China--&gt; Taiwan</t>
  </si>
  <si>
    <t>Taiwan to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</si>
</sst>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0"/>
  </numFmts>
  <fonts count="2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rgb="FF467886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/>
      <name val="Arial"/>
      <family val="2"/>
    </font>
    <font>
      <b/>
      <sz val="11"/>
      <color rgb="FF333333"/>
      <name val="Arial"/>
      <family val="2"/>
    </font>
    <font>
      <b/>
      <sz val="11"/>
      <color rgb="FF000000"/>
      <name val="Aptos Narrow"/>
      <family val="2"/>
      <scheme val="minor"/>
    </font>
    <font>
      <b/>
      <sz val="7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11"/>
      <color rgb="FF333333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  <xf numFmtId="2" fontId="0" fillId="0" borderId="0" xfId="0" applyNumberFormat="1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right"/>
    </xf>
    <xf numFmtId="0" fontId="2" fillId="0" borderId="0" xfId="1" applyAlignment="1">
      <alignment wrapText="1"/>
    </xf>
    <xf numFmtId="0" fontId="0" fillId="0" borderId="0" xfId="0" quotePrefix="1" applyAlignment="1">
      <alignment horizontal="right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3" borderId="2" xfId="1" applyFill="1" applyBorder="1" applyAlignment="1">
      <alignment horizontal="right" vertical="top"/>
    </xf>
    <xf numFmtId="0" fontId="0" fillId="0" borderId="2" xfId="0" applyBorder="1" applyAlignment="1">
      <alignment horizontal="right"/>
    </xf>
    <xf numFmtId="0" fontId="0" fillId="2" borderId="0" xfId="0" applyFill="1" applyAlignment="1">
      <alignment wrapText="1"/>
    </xf>
    <xf numFmtId="0" fontId="2" fillId="2" borderId="0" xfId="1" applyFill="1"/>
    <xf numFmtId="164" fontId="0" fillId="0" borderId="0" xfId="0" applyNumberFormat="1"/>
    <xf numFmtId="2" fontId="0" fillId="0" borderId="0" xfId="0" applyNumberFormat="1" applyAlignment="1">
      <alignment wrapText="1"/>
    </xf>
    <xf numFmtId="165" fontId="0" fillId="2" borderId="0" xfId="0" applyNumberFormat="1" applyFill="1"/>
    <xf numFmtId="0" fontId="8" fillId="4" borderId="0" xfId="0" applyFont="1" applyFill="1"/>
    <xf numFmtId="0" fontId="0" fillId="0" borderId="0" xfId="0" applyAlignment="1">
      <alignment horizontal="center"/>
    </xf>
    <xf numFmtId="166" fontId="1" fillId="5" borderId="4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6" borderId="0" xfId="0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0" fillId="7" borderId="0" xfId="0" applyFill="1"/>
    <xf numFmtId="0" fontId="1" fillId="7" borderId="3" xfId="0" applyFont="1" applyFill="1" applyBorder="1" applyAlignment="1">
      <alignment horizontal="center" wrapText="1"/>
    </xf>
    <xf numFmtId="165" fontId="0" fillId="7" borderId="0" xfId="0" applyNumberFormat="1" applyFill="1"/>
    <xf numFmtId="0" fontId="10" fillId="7" borderId="0" xfId="0" applyFont="1" applyFill="1"/>
    <xf numFmtId="0" fontId="9" fillId="7" borderId="0" xfId="1" applyFont="1" applyFill="1"/>
    <xf numFmtId="0" fontId="1" fillId="7" borderId="3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2" fillId="9" borderId="8" xfId="1" applyFill="1" applyBorder="1" applyAlignment="1">
      <alignment horizontal="right" vertical="top"/>
    </xf>
    <xf numFmtId="0" fontId="0" fillId="9" borderId="8" xfId="0" applyFill="1" applyBorder="1" applyAlignment="1">
      <alignment wrapText="1"/>
    </xf>
    <xf numFmtId="0" fontId="0" fillId="9" borderId="8" xfId="0" applyFill="1" applyBorder="1" applyAlignment="1">
      <alignment horizontal="right"/>
    </xf>
    <xf numFmtId="0" fontId="1" fillId="9" borderId="8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wrapText="1"/>
    </xf>
    <xf numFmtId="2" fontId="0" fillId="0" borderId="1" xfId="0" applyNumberFormat="1" applyBorder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2" fontId="20" fillId="0" borderId="0" xfId="0" applyNumberFormat="1" applyFont="1"/>
    <xf numFmtId="2" fontId="20" fillId="0" borderId="1" xfId="0" applyNumberFormat="1" applyFont="1" applyBorder="1"/>
    <xf numFmtId="1" fontId="20" fillId="0" borderId="0" xfId="0" applyNumberFormat="1" applyFont="1"/>
    <xf numFmtId="0" fontId="20" fillId="0" borderId="0" xfId="0" applyFont="1"/>
    <xf numFmtId="2" fontId="0" fillId="0" borderId="0" xfId="0" applyNumberFormat="1" applyAlignment="1">
      <alignment horizontal="left"/>
    </xf>
    <xf numFmtId="0" fontId="21" fillId="0" borderId="0" xfId="0" applyFont="1"/>
    <xf numFmtId="0" fontId="1" fillId="6" borderId="8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165" fontId="1" fillId="5" borderId="8" xfId="0" applyNumberFormat="1" applyFon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 wrapText="1"/>
    </xf>
    <xf numFmtId="0" fontId="0" fillId="9" borderId="9" xfId="0" applyFill="1" applyBorder="1"/>
    <xf numFmtId="0" fontId="1" fillId="9" borderId="9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/>
    </xf>
    <xf numFmtId="0" fontId="0" fillId="9" borderId="0" xfId="0" applyFill="1" applyAlignment="1">
      <alignment wrapText="1"/>
    </xf>
    <xf numFmtId="0" fontId="0" fillId="9" borderId="0" xfId="0" applyFill="1" applyAlignment="1">
      <alignment horizontal="center" wrapText="1"/>
    </xf>
    <xf numFmtId="0" fontId="0" fillId="9" borderId="0" xfId="0" applyFill="1" applyAlignment="1">
      <alignment horizontal="right"/>
    </xf>
    <xf numFmtId="0" fontId="1" fillId="9" borderId="0" xfId="0" applyFont="1" applyFill="1" applyAlignment="1">
      <alignment horizontal="center"/>
    </xf>
    <xf numFmtId="0" fontId="22" fillId="9" borderId="0" xfId="0" applyFont="1" applyFill="1" applyAlignment="1">
      <alignment horizontal="right"/>
    </xf>
    <xf numFmtId="166" fontId="0" fillId="0" borderId="0" xfId="0" applyNumberFormat="1"/>
    <xf numFmtId="0" fontId="23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0" fontId="24" fillId="3" borderId="2" xfId="0" applyFont="1" applyFill="1" applyBorder="1" applyAlignment="1">
      <alignment vertical="center" wrapText="1"/>
    </xf>
    <xf numFmtId="0" fontId="25" fillId="0" borderId="0" xfId="0" applyFont="1"/>
    <xf numFmtId="0" fontId="0" fillId="10" borderId="0" xfId="0" applyFill="1"/>
    <xf numFmtId="0" fontId="17" fillId="10" borderId="0" xfId="0" applyFont="1" applyFill="1"/>
    <xf numFmtId="0" fontId="0" fillId="10" borderId="0" xfId="0" applyFill="1" applyAlignment="1">
      <alignment wrapText="1"/>
    </xf>
    <xf numFmtId="0" fontId="1" fillId="10" borderId="0" xfId="0" applyFont="1" applyFill="1"/>
    <xf numFmtId="0" fontId="8" fillId="11" borderId="0" xfId="0" applyFont="1" applyFill="1"/>
    <xf numFmtId="2" fontId="0" fillId="0" borderId="2" xfId="0" applyNumberFormat="1" applyBorder="1"/>
    <xf numFmtId="0" fontId="0" fillId="0" borderId="10" xfId="0" applyBorder="1" applyAlignment="1">
      <alignment wrapText="1"/>
    </xf>
    <xf numFmtId="2" fontId="0" fillId="0" borderId="10" xfId="0" applyNumberFormat="1" applyBorder="1"/>
    <xf numFmtId="0" fontId="0" fillId="0" borderId="10" xfId="0" applyBorder="1"/>
    <xf numFmtId="0" fontId="0" fillId="0" borderId="11" xfId="0" applyBorder="1" applyAlignment="1">
      <alignment wrapText="1"/>
    </xf>
    <xf numFmtId="2" fontId="0" fillId="0" borderId="11" xfId="0" applyNumberFormat="1" applyBorder="1"/>
    <xf numFmtId="0" fontId="0" fillId="0" borderId="11" xfId="0" applyBorder="1"/>
    <xf numFmtId="3" fontId="0" fillId="0" borderId="11" xfId="0" applyNumberFormat="1" applyBorder="1"/>
    <xf numFmtId="0" fontId="1" fillId="0" borderId="2" xfId="0" applyFont="1" applyBorder="1"/>
    <xf numFmtId="0" fontId="2" fillId="0" borderId="2" xfId="1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wrapText="1"/>
    </xf>
    <xf numFmtId="0" fontId="2" fillId="0" borderId="2" xfId="1" applyBorder="1" applyAlignment="1">
      <alignment wrapText="1"/>
    </xf>
    <xf numFmtId="0" fontId="6" fillId="0" borderId="2" xfId="1" applyFont="1" applyBorder="1" applyAlignment="1">
      <alignment wrapText="1"/>
    </xf>
    <xf numFmtId="2" fontId="0" fillId="0" borderId="13" xfId="0" applyNumberFormat="1" applyBorder="1"/>
    <xf numFmtId="0" fontId="0" fillId="12" borderId="8" xfId="0" applyFill="1" applyBorder="1"/>
    <xf numFmtId="166" fontId="0" fillId="12" borderId="8" xfId="0" applyNumberFormat="1" applyFill="1" applyBorder="1"/>
    <xf numFmtId="164" fontId="0" fillId="12" borderId="8" xfId="0" applyNumberFormat="1" applyFill="1" applyBorder="1"/>
    <xf numFmtId="164" fontId="0" fillId="0" borderId="2" xfId="0" applyNumberFormat="1" applyBorder="1"/>
    <xf numFmtId="0" fontId="8" fillId="0" borderId="0" xfId="0" applyFont="1"/>
    <xf numFmtId="0" fontId="1" fillId="0" borderId="12" xfId="0" applyFont="1" applyBorder="1"/>
    <xf numFmtId="0" fontId="0" fillId="0" borderId="14" xfId="0" applyBorder="1"/>
    <xf numFmtId="2" fontId="0" fillId="0" borderId="14" xfId="0" applyNumberFormat="1" applyBorder="1"/>
    <xf numFmtId="2" fontId="0" fillId="0" borderId="17" xfId="0" applyNumberFormat="1" applyBorder="1"/>
    <xf numFmtId="165" fontId="0" fillId="0" borderId="0" xfId="0" applyNumberFormat="1"/>
    <xf numFmtId="0" fontId="1" fillId="0" borderId="2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26" fillId="0" borderId="0" xfId="0" applyFont="1"/>
    <xf numFmtId="0" fontId="2" fillId="0" borderId="2" xfId="1" applyBorder="1" applyAlignment="1">
      <alignment horizontal="left" vertical="center"/>
    </xf>
    <xf numFmtId="0" fontId="2" fillId="0" borderId="0" xfId="1" applyFill="1"/>
    <xf numFmtId="2" fontId="8" fillId="0" borderId="0" xfId="0" applyNumberFormat="1" applyFont="1"/>
    <xf numFmtId="0" fontId="8" fillId="0" borderId="19" xfId="0" applyFont="1" applyBorder="1" applyAlignment="1">
      <alignment wrapText="1"/>
    </xf>
    <xf numFmtId="2" fontId="8" fillId="0" borderId="18" xfId="0" applyNumberFormat="1" applyFont="1" applyBorder="1"/>
    <xf numFmtId="0" fontId="8" fillId="0" borderId="10" xfId="0" applyFont="1" applyBorder="1"/>
    <xf numFmtId="2" fontId="8" fillId="0" borderId="10" xfId="0" applyNumberFormat="1" applyFont="1" applyBorder="1"/>
    <xf numFmtId="0" fontId="8" fillId="0" borderId="10" xfId="0" applyFont="1" applyBorder="1" applyAlignment="1">
      <alignment wrapText="1"/>
    </xf>
    <xf numFmtId="2" fontId="8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8" fillId="0" borderId="17" xfId="0" applyFont="1" applyBorder="1" applyAlignment="1">
      <alignment wrapText="1"/>
    </xf>
    <xf numFmtId="2" fontId="8" fillId="0" borderId="17" xfId="0" applyNumberFormat="1" applyFont="1" applyBorder="1"/>
    <xf numFmtId="0" fontId="8" fillId="0" borderId="17" xfId="0" applyFont="1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0" fillId="0" borderId="20" xfId="0" applyBorder="1"/>
    <xf numFmtId="0" fontId="2" fillId="0" borderId="13" xfId="1" applyBorder="1"/>
    <xf numFmtId="0" fontId="27" fillId="0" borderId="0" xfId="0" applyFont="1"/>
    <xf numFmtId="0" fontId="1" fillId="13" borderId="10" xfId="0" applyFont="1" applyFill="1" applyBorder="1" applyAlignment="1">
      <alignment wrapText="1"/>
    </xf>
    <xf numFmtId="2" fontId="0" fillId="13" borderId="10" xfId="0" applyNumberFormat="1" applyFill="1" applyBorder="1"/>
    <xf numFmtId="0" fontId="0" fillId="13" borderId="10" xfId="0" applyFill="1" applyBorder="1"/>
    <xf numFmtId="0" fontId="0" fillId="0" borderId="21" xfId="0" applyBorder="1"/>
    <xf numFmtId="11" fontId="0" fillId="0" borderId="21" xfId="0" applyNumberFormat="1" applyBorder="1"/>
    <xf numFmtId="0" fontId="27" fillId="0" borderId="21" xfId="0" applyFont="1" applyBorder="1"/>
    <xf numFmtId="0" fontId="27" fillId="0" borderId="22" xfId="0" applyFont="1" applyBorder="1"/>
    <xf numFmtId="0" fontId="27" fillId="0" borderId="24" xfId="0" applyFont="1" applyBorder="1" applyAlignment="1">
      <alignment wrapText="1"/>
    </xf>
    <xf numFmtId="0" fontId="27" fillId="0" borderId="18" xfId="0" applyFont="1" applyBorder="1" applyAlignment="1">
      <alignment wrapText="1"/>
    </xf>
    <xf numFmtId="0" fontId="27" fillId="0" borderId="18" xfId="0" applyFont="1" applyBorder="1"/>
    <xf numFmtId="0" fontId="27" fillId="0" borderId="23" xfId="0" applyFont="1" applyBorder="1"/>
    <xf numFmtId="11" fontId="27" fillId="0" borderId="22" xfId="0" applyNumberFormat="1" applyFont="1" applyBorder="1" applyAlignment="1">
      <alignment wrapText="1"/>
    </xf>
    <xf numFmtId="0" fontId="28" fillId="2" borderId="14" xfId="0" applyFont="1" applyFill="1" applyBorder="1"/>
    <xf numFmtId="0" fontId="0" fillId="0" borderId="15" xfId="0" applyBorder="1"/>
    <xf numFmtId="0" fontId="15" fillId="8" borderId="6" xfId="0" applyFont="1" applyFill="1" applyBorder="1" applyAlignment="1">
      <alignment horizontal="center" wrapText="1"/>
    </xf>
    <xf numFmtId="0" fontId="0" fillId="8" borderId="6" xfId="0" applyFill="1" applyBorder="1" applyAlignment="1">
      <alignment horizontal="center" wrapText="1"/>
    </xf>
    <xf numFmtId="0" fontId="0" fillId="8" borderId="7" xfId="0" applyFill="1" applyBorder="1" applyAlignment="1">
      <alignment horizont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Energy Consumption [MJ/bike]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Results!$E$7</c:f>
              <c:strCache>
                <c:ptCount val="1"/>
                <c:pt idx="0">
                  <c:v>Aluminium Frame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Results!$D$8:$D$13</c:f>
              <c:strCache>
                <c:ptCount val="6"/>
                <c:pt idx="0">
                  <c:v>Raw Material Extruction</c:v>
                </c:pt>
                <c:pt idx="1">
                  <c:v>Manufacturing</c:v>
                </c:pt>
                <c:pt idx="2">
                  <c:v>Use Phase </c:v>
                </c:pt>
                <c:pt idx="3">
                  <c:v>EoL</c:v>
                </c:pt>
                <c:pt idx="4">
                  <c:v>Transportation</c:v>
                </c:pt>
                <c:pt idx="5">
                  <c:v>Total</c:v>
                </c:pt>
              </c:strCache>
            </c:strRef>
          </c:cat>
          <c:val>
            <c:numRef>
              <c:f>Results!$E$8:$E$13</c:f>
              <c:numCache>
                <c:formatCode>General</c:formatCode>
                <c:ptCount val="6"/>
                <c:pt idx="0">
                  <c:v>408.73820000000001</c:v>
                </c:pt>
                <c:pt idx="1">
                  <c:v>298.79899999999998</c:v>
                </c:pt>
                <c:pt idx="2">
                  <c:v>0</c:v>
                </c:pt>
                <c:pt idx="3">
                  <c:v>88.8</c:v>
                </c:pt>
                <c:pt idx="4">
                  <c:v>18.891999999999999</c:v>
                </c:pt>
                <c:pt idx="5">
                  <c:v>815.22919999999999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D-41E3-82A2-0590575A5412}"/>
            </c:ext>
          </c:extLst>
        </c:ser>
        <c:ser>
          <c:idx val="1"/>
          <c:order val="1"/>
          <c:tx>
            <c:strRef>
              <c:f>Results!$G$7</c:f>
              <c:strCache>
                <c:ptCount val="1"/>
                <c:pt idx="0">
                  <c:v>Carbon Fiber Frame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Results!$D$8:$D$13</c:f>
              <c:strCache>
                <c:ptCount val="6"/>
                <c:pt idx="0">
                  <c:v>Raw Material Extruction</c:v>
                </c:pt>
                <c:pt idx="1">
                  <c:v>Manufacturing</c:v>
                </c:pt>
                <c:pt idx="2">
                  <c:v>Use Phase </c:v>
                </c:pt>
                <c:pt idx="3">
                  <c:v>EoL</c:v>
                </c:pt>
                <c:pt idx="4">
                  <c:v>Transportation</c:v>
                </c:pt>
                <c:pt idx="5">
                  <c:v>Total</c:v>
                </c:pt>
              </c:strCache>
            </c:strRef>
          </c:cat>
          <c:val>
            <c:numRef>
              <c:f>Results!$G$8:$G$13</c:f>
              <c:numCache>
                <c:formatCode>0.00</c:formatCode>
                <c:ptCount val="6"/>
                <c:pt idx="0">
                  <c:v>550.9445280000001</c:v>
                </c:pt>
                <c:pt idx="1">
                  <c:v>49.884680000000003</c:v>
                </c:pt>
                <c:pt idx="2" formatCode="General">
                  <c:v>0</c:v>
                </c:pt>
                <c:pt idx="3">
                  <c:v>15.017333333333333</c:v>
                </c:pt>
                <c:pt idx="4">
                  <c:v>6.7875101119999997</c:v>
                </c:pt>
                <c:pt idx="5">
                  <c:v>622.6340514453334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D-41E3-82A2-0590575A5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998112"/>
        <c:axId val="1258001472"/>
      </c:barChart>
      <c:catAx>
        <c:axId val="125799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01472"/>
        <c:crosses val="autoZero"/>
        <c:auto val="1"/>
        <c:lblAlgn val="ctr"/>
        <c:lblOffset val="100"/>
        <c:noMultiLvlLbl val="0"/>
      </c:catAx>
      <c:valAx>
        <c:axId val="12580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9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GWP [kg CO</a:t>
            </a:r>
            <a:r>
              <a:rPr lang="en-US" sz="900" b="0" i="0" u="none" strike="noStrike" baseline="0">
                <a:effectLst/>
              </a:rPr>
              <a:t>2</a:t>
            </a:r>
            <a:r>
              <a:rPr lang="en-US" sz="1400" b="0" i="0" u="none" strike="noStrike" baseline="0">
                <a:effectLst/>
              </a:rPr>
              <a:t> eq/bike]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Results!$E$15</c:f>
              <c:strCache>
                <c:ptCount val="1"/>
                <c:pt idx="0">
                  <c:v>Aluminium Frame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Results!$D$16:$D$21</c:f>
              <c:strCache>
                <c:ptCount val="6"/>
                <c:pt idx="0">
                  <c:v>Raw Material Extruction</c:v>
                </c:pt>
                <c:pt idx="1">
                  <c:v>Manufacturing</c:v>
                </c:pt>
                <c:pt idx="2">
                  <c:v>Use Phase </c:v>
                </c:pt>
                <c:pt idx="3">
                  <c:v>EoL</c:v>
                </c:pt>
                <c:pt idx="4">
                  <c:v>Transportation</c:v>
                </c:pt>
                <c:pt idx="5">
                  <c:v>Total:</c:v>
                </c:pt>
              </c:strCache>
            </c:strRef>
          </c:cat>
          <c:val>
            <c:numRef>
              <c:f>Results!$E$16:$E$21</c:f>
              <c:numCache>
                <c:formatCode>General</c:formatCode>
                <c:ptCount val="6"/>
                <c:pt idx="0">
                  <c:v>65.397999999999996</c:v>
                </c:pt>
                <c:pt idx="1">
                  <c:v>53.780999999999999</c:v>
                </c:pt>
                <c:pt idx="2">
                  <c:v>0</c:v>
                </c:pt>
                <c:pt idx="3">
                  <c:v>6.2160000000000002</c:v>
                </c:pt>
                <c:pt idx="4">
                  <c:v>1.782</c:v>
                </c:pt>
                <c:pt idx="5">
                  <c:v>127.17699999999999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7-4A4E-A1DC-78F6C4FCB1FF}"/>
            </c:ext>
          </c:extLst>
        </c:ser>
        <c:ser>
          <c:idx val="1"/>
          <c:order val="1"/>
          <c:tx>
            <c:strRef>
              <c:f>Results!$G$15</c:f>
              <c:strCache>
                <c:ptCount val="1"/>
                <c:pt idx="0">
                  <c:v>Carbon Fiber Frame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Results!$D$16:$D$21</c:f>
              <c:strCache>
                <c:ptCount val="6"/>
                <c:pt idx="0">
                  <c:v>Raw Material Extruction</c:v>
                </c:pt>
                <c:pt idx="1">
                  <c:v>Manufacturing</c:v>
                </c:pt>
                <c:pt idx="2">
                  <c:v>Use Phase </c:v>
                </c:pt>
                <c:pt idx="3">
                  <c:v>EoL</c:v>
                </c:pt>
                <c:pt idx="4">
                  <c:v>Transportation</c:v>
                </c:pt>
                <c:pt idx="5">
                  <c:v>Total:</c:v>
                </c:pt>
              </c:strCache>
            </c:strRef>
          </c:cat>
          <c:val>
            <c:numRef>
              <c:f>Results!$G$16:$G$21</c:f>
              <c:numCache>
                <c:formatCode>0.00</c:formatCode>
                <c:ptCount val="6"/>
                <c:pt idx="0" formatCode="General">
                  <c:v>74.290000000000006</c:v>
                </c:pt>
                <c:pt idx="1">
                  <c:v>8.4971092666666674</c:v>
                </c:pt>
                <c:pt idx="2" formatCode="General">
                  <c:v>0</c:v>
                </c:pt>
                <c:pt idx="3">
                  <c:v>1.9278725925925928</c:v>
                </c:pt>
                <c:pt idx="4">
                  <c:v>0.64070325640000014</c:v>
                </c:pt>
                <c:pt idx="5">
                  <c:v>85.35568511565927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7-4A4E-A1DC-78F6C4FCB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48176"/>
        <c:axId val="91046256"/>
      </c:barChart>
      <c:catAx>
        <c:axId val="910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6256"/>
        <c:crosses val="autoZero"/>
        <c:auto val="1"/>
        <c:lblAlgn val="ctr"/>
        <c:lblOffset val="100"/>
        <c:noMultiLvlLbl val="0"/>
      </c:catAx>
      <c:valAx>
        <c:axId val="910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energy consumed by Aluminium Vs Carbon Fiber Bike Frame (MJ /bikeframe)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E0-4B01-ADF6-83AC5521978A}"/>
              </c:ext>
            </c:extLst>
          </c:dPt>
          <c:cat>
            <c:strRef>
              <c:f>Results!$E$29:$E$30</c:f>
              <c:strCache>
                <c:ptCount val="2"/>
                <c:pt idx="0">
                  <c:v>Aluminium</c:v>
                </c:pt>
                <c:pt idx="1">
                  <c:v>Carbon Fiber</c:v>
                </c:pt>
              </c:strCache>
            </c:strRef>
          </c:cat>
          <c:val>
            <c:numRef>
              <c:f>Results!$F$29:$F$30</c:f>
              <c:numCache>
                <c:formatCode>0.00</c:formatCode>
                <c:ptCount val="2"/>
                <c:pt idx="0" formatCode="General">
                  <c:v>464.2645</c:v>
                </c:pt>
                <c:pt idx="1">
                  <c:v>622.6340514453334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Results!#REF!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3E0-4B01-ADF6-83AC5521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391887"/>
        <c:axId val="1894663808"/>
      </c:barChart>
      <c:catAx>
        <c:axId val="123639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63808"/>
        <c:crosses val="autoZero"/>
        <c:auto val="1"/>
        <c:lblAlgn val="ctr"/>
        <c:lblOffset val="100"/>
        <c:noMultiLvlLbl val="0"/>
      </c:catAx>
      <c:valAx>
        <c:axId val="189466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3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Net CO2 eq Emissions by Aluminium Vs Carbon Fiber Bike Frame (kg CO2 eq/bike frame)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Results!$F$31</c:f>
              <c:strCache>
                <c:ptCount val="1"/>
                <c:pt idx="0">
                  <c:v>Kg Co2 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390-4036-AF26-7D01F5DE1F2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90-4036-AF26-7D01F5DE1F22}"/>
              </c:ext>
            </c:extLst>
          </c:dPt>
          <c:cat>
            <c:strRef>
              <c:f>Results!$E$32:$E$33</c:f>
              <c:strCache>
                <c:ptCount val="2"/>
                <c:pt idx="0">
                  <c:v>Aluminium</c:v>
                </c:pt>
                <c:pt idx="1">
                  <c:v>Carbon Fiber</c:v>
                </c:pt>
              </c:strCache>
            </c:strRef>
          </c:cat>
          <c:val>
            <c:numRef>
              <c:f>Results!$F$32:$F$33</c:f>
              <c:numCache>
                <c:formatCode>0.00</c:formatCode>
                <c:ptCount val="2"/>
                <c:pt idx="0" formatCode="General">
                  <c:v>102.60899999999999</c:v>
                </c:pt>
                <c:pt idx="1">
                  <c:v>85.35568511565927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0-4036-AF26-7D01F5DE1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4302096"/>
        <c:axId val="1824302576"/>
      </c:barChart>
      <c:catAx>
        <c:axId val="182430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02576"/>
        <c:crosses val="autoZero"/>
        <c:auto val="1"/>
        <c:lblAlgn val="ctr"/>
        <c:lblOffset val="100"/>
        <c:noMultiLvlLbl val="0"/>
      </c:catAx>
      <c:valAx>
        <c:axId val="18243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1663</xdr:colOff>
      <xdr:row>1</xdr:row>
      <xdr:rowOff>0</xdr:rowOff>
    </xdr:from>
    <xdr:to>
      <xdr:col>18</xdr:col>
      <xdr:colOff>1</xdr:colOff>
      <xdr:row>13</xdr:row>
      <xdr:rowOff>3326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7FF4688D-1ABD-4F75-8929-066D013BD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1171</xdr:colOff>
      <xdr:row>14</xdr:row>
      <xdr:rowOff>3472</xdr:rowOff>
    </xdr:from>
    <xdr:to>
      <xdr:col>18</xdr:col>
      <xdr:colOff>0</xdr:colOff>
      <xdr:row>26</xdr:row>
      <xdr:rowOff>7256</xdr:rowOff>
    </xdr:to>
    <xdr:graphicFrame macro="">
      <xdr:nvGraphicFramePr>
        <xdr:cNvPr id="270" name="Chart 10">
          <a:extLst>
            <a:ext uri="{FF2B5EF4-FFF2-40B4-BE49-F238E27FC236}">
              <a16:creationId xmlns:a16="http://schemas.microsoft.com/office/drawing/2014/main" id="{C38BDDCE-B60F-4F30-995D-24DF063A366D}"/>
            </a:ext>
            <a:ext uri="{147F2762-F138-4A5C-976F-8EAC2B608ADB}">
              <a16:predDERef xmlns:a16="http://schemas.microsoft.com/office/drawing/2014/main" pred="{7FF4688D-1ABD-4F75-8929-066D013BD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26</xdr:row>
      <xdr:rowOff>169545</xdr:rowOff>
    </xdr:from>
    <xdr:to>
      <xdr:col>16</xdr:col>
      <xdr:colOff>293370</xdr:colOff>
      <xdr:row>33</xdr:row>
      <xdr:rowOff>179070</xdr:rowOff>
    </xdr:to>
    <xdr:graphicFrame macro="">
      <xdr:nvGraphicFramePr>
        <xdr:cNvPr id="7" name="Chart 73">
          <a:extLst>
            <a:ext uri="{FF2B5EF4-FFF2-40B4-BE49-F238E27FC236}">
              <a16:creationId xmlns:a16="http://schemas.microsoft.com/office/drawing/2014/main" id="{F994AC14-BB9F-AC7D-D188-FB2291D026E5}"/>
            </a:ext>
            <a:ext uri="{147F2762-F138-4A5C-976F-8EAC2B608ADB}">
              <a16:predDERef xmlns:a16="http://schemas.microsoft.com/office/drawing/2014/main" pred="{C38BDDCE-B60F-4F30-995D-24DF063A3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466725</xdr:colOff>
      <xdr:row>35</xdr:row>
      <xdr:rowOff>180975</xdr:rowOff>
    </xdr:from>
    <xdr:to>
      <xdr:col>17</xdr:col>
      <xdr:colOff>228600</xdr:colOff>
      <xdr:row>43</xdr:row>
      <xdr:rowOff>19050</xdr:rowOff>
    </xdr:to>
    <xdr:graphicFrame macro="">
      <xdr:nvGraphicFramePr>
        <xdr:cNvPr id="10" name="Chart 75">
          <a:extLst>
            <a:ext uri="{FF2B5EF4-FFF2-40B4-BE49-F238E27FC236}">
              <a16:creationId xmlns:a16="http://schemas.microsoft.com/office/drawing/2014/main" id="{F1D87D15-6845-7130-49A8-0694D3EAEE28}"/>
            </a:ext>
            <a:ext uri="{147F2762-F138-4A5C-976F-8EAC2B608ADB}">
              <a16:predDERef xmlns:a16="http://schemas.microsoft.com/office/drawing/2014/main" pred="{F994AC14-BB9F-AC7D-D188-FB2291D02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255271</xdr:colOff>
      <xdr:row>1</xdr:row>
      <xdr:rowOff>175260</xdr:rowOff>
    </xdr:from>
    <xdr:to>
      <xdr:col>6</xdr:col>
      <xdr:colOff>373750</xdr:colOff>
      <xdr:row>11</xdr:row>
      <xdr:rowOff>148590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11D8490-D5AE-7CF6-7461-A3C833CF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1" y="356235"/>
          <a:ext cx="3484614" cy="178689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19</xdr:row>
      <xdr:rowOff>152400</xdr:rowOff>
    </xdr:from>
    <xdr:to>
      <xdr:col>12</xdr:col>
      <xdr:colOff>175260</xdr:colOff>
      <xdr:row>33</xdr:row>
      <xdr:rowOff>154305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24C3E924-ED62-90E1-6A6E-CCA03AA6529A}"/>
            </a:ext>
            <a:ext uri="{147F2762-F138-4A5C-976F-8EAC2B608ADB}">
              <a16:predDERef xmlns:a16="http://schemas.microsoft.com/office/drawing/2014/main" pred="{911D8490-D5AE-7CF6-7461-A3C833CF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3590925"/>
          <a:ext cx="6955155" cy="253555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34</xdr:row>
      <xdr:rowOff>152400</xdr:rowOff>
    </xdr:from>
    <xdr:to>
      <xdr:col>8</xdr:col>
      <xdr:colOff>116205</xdr:colOff>
      <xdr:row>40</xdr:row>
      <xdr:rowOff>173355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7B4DED9C-4AE6-6156-3A3A-5B49A40965DA}"/>
            </a:ext>
            <a:ext uri="{147F2762-F138-4A5C-976F-8EAC2B608ADB}">
              <a16:predDERef xmlns:a16="http://schemas.microsoft.com/office/drawing/2014/main" pred="{24C3E924-ED62-90E1-6A6E-CCA03AA6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6629400"/>
          <a:ext cx="4572000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carbon-intensity-electricity" TargetMode="External"/><Relationship Id="rId3" Type="http://schemas.openxmlformats.org/officeDocument/2006/relationships/hyperlink" Target="https://www.sciencedirect.com/science/article/pii/S0924013617300109" TargetMode="External"/><Relationship Id="rId7" Type="http://schemas.openxmlformats.org/officeDocument/2006/relationships/hyperlink" Target="https://ourworldindata.org/grapher/carbon-intensity-electricity" TargetMode="External"/><Relationship Id="rId12" Type="http://schemas.openxmlformats.org/officeDocument/2006/relationships/hyperlink" Target="https://cedelft.eu/wp-content/uploads/sites/2/2021/03/CE_Delft_190325_STREAM_Freight_Transport_2020_FINAL.pdf?utm_source=chatgpt.com" TargetMode="External"/><Relationship Id="rId2" Type="http://schemas.openxmlformats.org/officeDocument/2006/relationships/hyperlink" Target="https://www.researchgate.net/publication/361850403_Life_Cycle_Assessment_LCA_Results_of_MIG_and_TIG_Welding_Technologies_Using_the_IMPACT_2002_Methodology" TargetMode="External"/><Relationship Id="rId1" Type="http://schemas.openxmlformats.org/officeDocument/2006/relationships/hyperlink" Target="https://www.aluminum.org/sites/default/files/2022-08/102.1_Aluminum_Assocication_EPD_Extruded_Aluminum.pdf" TargetMode="External"/><Relationship Id="rId6" Type="http://schemas.openxmlformats.org/officeDocument/2006/relationships/hyperlink" Target="https://ourworldindata.org/grapher/carbon-intensity-electricity" TargetMode="External"/><Relationship Id="rId11" Type="http://schemas.openxmlformats.org/officeDocument/2006/relationships/hyperlink" Target="https://cedelft.eu/wp-content/uploads/sites/2/2021/03/CE_Delft_190325_STREAM_Freight_Transport_2020_FINAL.pdf?utm_source=chatgpt.com" TargetMode="External"/><Relationship Id="rId5" Type="http://schemas.openxmlformats.org/officeDocument/2006/relationships/hyperlink" Target="https://ourworldindata.org/grapher/carbon-intensity-electricity" TargetMode="External"/><Relationship Id="rId10" Type="http://schemas.openxmlformats.org/officeDocument/2006/relationships/hyperlink" Target="https://cedelft.eu/wp-content/uploads/sites/2/2021/03/CE_Delft_190325_STREAM_Freight_Transport_2020_FINAL.pdf?utm_source=chatgpt.com" TargetMode="External"/><Relationship Id="rId4" Type="http://schemas.openxmlformats.org/officeDocument/2006/relationships/hyperlink" Target="https://www.researchgate.net/publication/325607069_Review_of_measures_for_improved_energy_efficiency_in_production-related_processes_in_the_aluminium_industry_-_From_electrolysis_to_recycling" TargetMode="External"/><Relationship Id="rId9" Type="http://schemas.openxmlformats.org/officeDocument/2006/relationships/hyperlink" Target="https://www.researchgate.net/publication/365230002_Life_Cycle_Energy_Consumption_and_Greenhouse_Gas_Emissions_Analysis_of_Primary_and_Recycled_Aluminum_in_Chin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urworldindata.org/grapher/carbon-intensity-electricity" TargetMode="External"/><Relationship Id="rId18" Type="http://schemas.openxmlformats.org/officeDocument/2006/relationships/hyperlink" Target="https://cedelft.eu/wp-content/uploads/sites/2/2021/03/CE_Delft_190325_STREAM_Freight_Transport_2020_FINAL.pdf?utm_source=chatgpt.com" TargetMode="External"/><Relationship Id="rId26" Type="http://schemas.openxmlformats.org/officeDocument/2006/relationships/hyperlink" Target="https://ora.ox.ac.uk/objects/uuid:42019098-423f-4caf-ac57-e1da4d48fc54/files/me7fd56e1c4374ed3879b782fa6f10dab" TargetMode="External"/><Relationship Id="rId3" Type="http://schemas.openxmlformats.org/officeDocument/2006/relationships/hyperlink" Target="https://ora.ox.ac.uk/objects/uuid:42019098-423f-4caf-ac57-e1da4d48fc54/files/me7fd56e1c4374ed3879b782fa6f10dab" TargetMode="External"/><Relationship Id="rId21" Type="http://schemas.openxmlformats.org/officeDocument/2006/relationships/hyperlink" Target="https://cedelft.eu/wp-content/uploads/sites/2/2021/03/CE_Delft_190325_STREAM_Freight_Transport_2020_FINAL.pdf?utm_source=chatgpt.com" TargetMode="External"/><Relationship Id="rId7" Type="http://schemas.openxmlformats.org/officeDocument/2006/relationships/hyperlink" Target="https://ora.ox.ac.uk/objects/uuid:42019098-423f-4caf-ac57-e1da4d48fc54/files/me7fd56e1c4374ed3879b782fa6f10dab" TargetMode="External"/><Relationship Id="rId12" Type="http://schemas.openxmlformats.org/officeDocument/2006/relationships/hyperlink" Target="https://ourworldindata.org/grapher/carbon-intensity-electricity" TargetMode="External"/><Relationship Id="rId17" Type="http://schemas.openxmlformats.org/officeDocument/2006/relationships/hyperlink" Target="https://grabcad.com/library/carbon-bike-frame-press-mold-1" TargetMode="External"/><Relationship Id="rId25" Type="http://schemas.openxmlformats.org/officeDocument/2006/relationships/hyperlink" Target="https://www.aluminum.org/sites/default/files/2022-08/102.1_Aluminum_Assocication_EPD_Extruded_Aluminum.pdf" TargetMode="External"/><Relationship Id="rId33" Type="http://schemas.openxmlformats.org/officeDocument/2006/relationships/hyperlink" Target="https://doi.org/10.1557/mrs.2012.33" TargetMode="External"/><Relationship Id="rId2" Type="http://schemas.openxmlformats.org/officeDocument/2006/relationships/hyperlink" Target="https://ora.ox.ac.uk/objects/uuid:42019098-423f-4caf-ac57-e1da4d48fc54/files/me7fd56e1c4374ed3879b782fa6f10dab" TargetMode="External"/><Relationship Id="rId16" Type="http://schemas.openxmlformats.org/officeDocument/2006/relationships/hyperlink" Target="https://ourworldindata.org/grapher/carbon-intensity-electricity" TargetMode="External"/><Relationship Id="rId20" Type="http://schemas.openxmlformats.org/officeDocument/2006/relationships/hyperlink" Target="https://cedelft.eu/wp-content/uploads/sites/2/2021/03/CE_Delft_190325_STREAM_Freight_Transport_2020_FINAL.pdf?utm_source=chatgpt.com" TargetMode="External"/><Relationship Id="rId29" Type="http://schemas.openxmlformats.org/officeDocument/2006/relationships/hyperlink" Target="https://doi.org/10.1016/j.compositesb.2019.107665" TargetMode="External"/><Relationship Id="rId1" Type="http://schemas.openxmlformats.org/officeDocument/2006/relationships/hyperlink" Target="https://ora.ox.ac.uk/objects/uuid:42019098-423f-4caf-ac57-e1da4d48fc54/files/me7fd56e1c4374ed3879b782fa6f10dab" TargetMode="External"/><Relationship Id="rId6" Type="http://schemas.openxmlformats.org/officeDocument/2006/relationships/hyperlink" Target="https://ora.ox.ac.uk/objects/uuid:42019098-423f-4caf-ac57-e1da4d48fc54/files/me7fd56e1c4374ed3879b782fa6f10dab" TargetMode="External"/><Relationship Id="rId11" Type="http://schemas.openxmlformats.org/officeDocument/2006/relationships/hyperlink" Target="https://pubs.acs.org/doi/epdf/10.1021/acssuschemeng.8b01026?ref=article_openPDF" TargetMode="External"/><Relationship Id="rId24" Type="http://schemas.openxmlformats.org/officeDocument/2006/relationships/hyperlink" Target="https://www.researchgate.net/publication/361850403_Life_Cycle_Assessment_LCA_Results_of_MIG_and_TIG_Welding_Technologies_Using_the_IMPACT_2002_Methodology" TargetMode="External"/><Relationship Id="rId32" Type="http://schemas.openxmlformats.org/officeDocument/2006/relationships/hyperlink" Target="https://doi.org/10.1016/j.jclepro.2014.06.023" TargetMode="External"/><Relationship Id="rId5" Type="http://schemas.openxmlformats.org/officeDocument/2006/relationships/hyperlink" Target="https://ora.ox.ac.uk/objects/uuid:42019098-423f-4caf-ac57-e1da4d48fc54/files/me7fd56e1c4374ed3879b782fa6f10dab" TargetMode="External"/><Relationship Id="rId15" Type="http://schemas.openxmlformats.org/officeDocument/2006/relationships/hyperlink" Target="https://ourworldindata.org/grapher/carbon-intensity-electricity" TargetMode="External"/><Relationship Id="rId23" Type="http://schemas.openxmlformats.org/officeDocument/2006/relationships/hyperlink" Target="https://www.sciencedirect.com/science/article/pii/S0924013617300109" TargetMode="External"/><Relationship Id="rId28" Type="http://schemas.openxmlformats.org/officeDocument/2006/relationships/hyperlink" Target="https://doi.org/10.1016/j.compositesb.2019.107665" TargetMode="External"/><Relationship Id="rId10" Type="http://schemas.openxmlformats.org/officeDocument/2006/relationships/hyperlink" Target="https://www.drgaurav.org/uploads/1/3/4/1/134145812/article-rp15.pdf" TargetMode="External"/><Relationship Id="rId19" Type="http://schemas.openxmlformats.org/officeDocument/2006/relationships/hyperlink" Target="https://cedelft.eu/wp-content/uploads/sites/2/2021/03/CE_Delft_190325_STREAM_Freight_Transport_2020_FINAL.pdf?utm_source=chatgpt.com" TargetMode="External"/><Relationship Id="rId31" Type="http://schemas.openxmlformats.org/officeDocument/2006/relationships/hyperlink" Target="https://doi.org/10.1016/j.compositesb.2019.107665" TargetMode="External"/><Relationship Id="rId4" Type="http://schemas.openxmlformats.org/officeDocument/2006/relationships/hyperlink" Target="https://ora.ox.ac.uk/objects/uuid:42019098-423f-4caf-ac57-e1da4d48fc54/files/me7fd56e1c4374ed3879b782fa6f10dab" TargetMode="External"/><Relationship Id="rId9" Type="http://schemas.openxmlformats.org/officeDocument/2006/relationships/hyperlink" Target="https://onlinelibrary.wiley.com/doi/epdf/10.1155/2020/5687951" TargetMode="External"/><Relationship Id="rId14" Type="http://schemas.openxmlformats.org/officeDocument/2006/relationships/hyperlink" Target="https://ourworldindata.org/grapher/carbon-intensity-electricity" TargetMode="External"/><Relationship Id="rId22" Type="http://schemas.openxmlformats.org/officeDocument/2006/relationships/hyperlink" Target="https://www.researchgate.net/publication/325607069_Review_of_measures_for_improved_energy_efficiency_in_production-related_processes_in_the_aluminium_industry_-_From_electrolysis_to_recycling" TargetMode="External"/><Relationship Id="rId27" Type="http://schemas.openxmlformats.org/officeDocument/2006/relationships/hyperlink" Target="http://ports.com/sea-route/port-of-matsuyama,japan/port-of-santos,brazil/" TargetMode="External"/><Relationship Id="rId30" Type="http://schemas.openxmlformats.org/officeDocument/2006/relationships/hyperlink" Target="https://doi.org/10.1016/j.compositesb.2019.107665" TargetMode="External"/><Relationship Id="rId8" Type="http://schemas.openxmlformats.org/officeDocument/2006/relationships/hyperlink" Target="https://www.revmaterialeplastice.ro/pdf/NEGOITA%20C%203%2016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F281-B2AF-48E8-A638-B1A29CE02BFB}">
  <dimension ref="A1:L79"/>
  <sheetViews>
    <sheetView zoomScale="78" zoomScaleNormal="100" workbookViewId="0">
      <selection activeCell="I79" sqref="I79"/>
    </sheetView>
  </sheetViews>
  <sheetFormatPr defaultRowHeight="15" customHeight="1"/>
  <cols>
    <col min="1" max="1" width="24.140625" customWidth="1"/>
    <col min="2" max="2" width="25" bestFit="1" customWidth="1"/>
    <col min="3" max="3" width="41.85546875" bestFit="1" customWidth="1"/>
    <col min="4" max="4" width="35" bestFit="1" customWidth="1"/>
    <col min="5" max="5" width="17" customWidth="1"/>
    <col min="6" max="6" width="17.42578125" bestFit="1" customWidth="1"/>
    <col min="7" max="7" width="21" style="20" customWidth="1"/>
    <col min="8" max="8" width="62.42578125" bestFit="1" customWidth="1"/>
    <col min="9" max="9" width="35.28515625" customWidth="1"/>
    <col min="10" max="10" width="24.140625" customWidth="1"/>
    <col min="11" max="11" width="150.7109375" bestFit="1" customWidth="1"/>
    <col min="12" max="12" width="57.5703125" customWidth="1"/>
  </cols>
  <sheetData>
    <row r="1" spans="1:12">
      <c r="C1" s="1"/>
      <c r="K1" t="s">
        <v>0</v>
      </c>
    </row>
    <row r="2" spans="1:12">
      <c r="C2" s="1" t="s">
        <v>1</v>
      </c>
      <c r="D2">
        <v>3.6</v>
      </c>
      <c r="E2" t="s">
        <v>2</v>
      </c>
    </row>
    <row r="3" spans="1:12">
      <c r="C3" t="s">
        <v>3</v>
      </c>
      <c r="D3">
        <v>582</v>
      </c>
      <c r="E3" t="s">
        <v>4</v>
      </c>
      <c r="I3" s="4">
        <f>D3/1000/$D$2</f>
        <v>0.16166666666666665</v>
      </c>
      <c r="J3" t="s">
        <v>5</v>
      </c>
      <c r="K3" t="s">
        <v>5</v>
      </c>
    </row>
    <row r="4" spans="1:12">
      <c r="C4" t="s">
        <v>6</v>
      </c>
      <c r="D4">
        <v>642</v>
      </c>
      <c r="E4" t="s">
        <v>4</v>
      </c>
      <c r="I4" s="4">
        <f>D4/1000/$D$2</f>
        <v>0.17833333333333334</v>
      </c>
      <c r="J4" t="s">
        <v>5</v>
      </c>
      <c r="K4" s="3" t="s">
        <v>7</v>
      </c>
    </row>
    <row r="5" spans="1:12">
      <c r="C5" t="s">
        <v>8</v>
      </c>
      <c r="D5">
        <v>485</v>
      </c>
      <c r="E5" t="s">
        <v>4</v>
      </c>
      <c r="I5" s="4">
        <f>D5/1000/$D$2</f>
        <v>0.13472222222222222</v>
      </c>
      <c r="J5" t="s">
        <v>5</v>
      </c>
      <c r="K5" s="3" t="s">
        <v>7</v>
      </c>
    </row>
    <row r="6" spans="1:12">
      <c r="C6" t="s">
        <v>9</v>
      </c>
      <c r="D6">
        <v>381</v>
      </c>
      <c r="E6" t="s">
        <v>4</v>
      </c>
      <c r="I6" s="4">
        <f>D6/1000/$D$2</f>
        <v>0.10583333333333333</v>
      </c>
      <c r="J6" t="s">
        <v>5</v>
      </c>
      <c r="K6" s="3" t="s">
        <v>7</v>
      </c>
    </row>
    <row r="7" spans="1:12">
      <c r="C7" t="s">
        <v>10</v>
      </c>
      <c r="D7">
        <v>268</v>
      </c>
      <c r="E7" t="s">
        <v>4</v>
      </c>
      <c r="I7" s="4">
        <f>D7/1000/$D$2</f>
        <v>7.4444444444444452E-2</v>
      </c>
      <c r="J7" t="s">
        <v>5</v>
      </c>
      <c r="K7" s="3" t="s">
        <v>7</v>
      </c>
    </row>
    <row r="8" spans="1:12">
      <c r="D8" t="s">
        <v>11</v>
      </c>
      <c r="E8" s="1" t="s">
        <v>12</v>
      </c>
      <c r="F8">
        <v>1.8</v>
      </c>
      <c r="G8" s="20" t="s">
        <v>13</v>
      </c>
      <c r="H8">
        <v>0.16689999999999999</v>
      </c>
      <c r="I8" t="s">
        <v>14</v>
      </c>
      <c r="J8" s="3" t="s">
        <v>15</v>
      </c>
    </row>
    <row r="9" spans="1:12">
      <c r="B9" t="s">
        <v>16</v>
      </c>
      <c r="D9" t="s">
        <v>17</v>
      </c>
      <c r="E9" s="1" t="s">
        <v>18</v>
      </c>
      <c r="F9">
        <v>0.36</v>
      </c>
      <c r="G9" s="20" t="s">
        <v>13</v>
      </c>
      <c r="H9" s="16">
        <v>3.4000000000000002E-2</v>
      </c>
      <c r="I9" t="s">
        <v>14</v>
      </c>
      <c r="J9" s="3" t="s">
        <v>15</v>
      </c>
    </row>
    <row r="10" spans="1:12">
      <c r="D10" t="s">
        <v>19</v>
      </c>
      <c r="E10" s="1" t="s">
        <v>20</v>
      </c>
      <c r="F10">
        <v>0.08</v>
      </c>
      <c r="G10" s="20" t="s">
        <v>13</v>
      </c>
      <c r="H10">
        <v>1.0800000000000001E-2</v>
      </c>
      <c r="I10" t="s">
        <v>14</v>
      </c>
      <c r="J10" s="3" t="s">
        <v>15</v>
      </c>
    </row>
    <row r="11" spans="1:12" ht="132" customHeight="1">
      <c r="B11" s="152" t="s">
        <v>21</v>
      </c>
      <c r="C11" s="153"/>
      <c r="D11" s="153"/>
      <c r="E11" s="153"/>
      <c r="F11" s="153"/>
      <c r="G11" s="153"/>
      <c r="H11" s="153"/>
      <c r="I11" s="153"/>
      <c r="J11" s="153"/>
      <c r="K11" s="154"/>
    </row>
    <row r="12" spans="1:12">
      <c r="B12" s="38" t="s">
        <v>22</v>
      </c>
      <c r="C12" s="26"/>
      <c r="D12" s="38" t="s">
        <v>23</v>
      </c>
      <c r="E12" s="38" t="s">
        <v>24</v>
      </c>
      <c r="F12" s="40" t="s">
        <v>25</v>
      </c>
      <c r="G12" s="24" t="s">
        <v>26</v>
      </c>
      <c r="H12" s="40" t="s">
        <v>27</v>
      </c>
      <c r="I12" s="24" t="s">
        <v>28</v>
      </c>
      <c r="J12" s="38" t="s">
        <v>29</v>
      </c>
      <c r="K12" s="2" t="s">
        <v>30</v>
      </c>
      <c r="L12" s="2" t="s">
        <v>31</v>
      </c>
    </row>
    <row r="13" spans="1:12">
      <c r="A13" t="s">
        <v>32</v>
      </c>
      <c r="B13" s="20" t="s">
        <v>33</v>
      </c>
      <c r="C13" s="27" t="s">
        <v>34</v>
      </c>
      <c r="D13" s="20">
        <v>157207</v>
      </c>
      <c r="E13" s="20" t="s">
        <v>35</v>
      </c>
      <c r="F13" s="44" t="s">
        <v>36</v>
      </c>
      <c r="G13" s="21">
        <f>157.207*2.6</f>
        <v>408.73820000000001</v>
      </c>
      <c r="H13" s="41" t="s">
        <v>3</v>
      </c>
      <c r="I13" s="23">
        <f>408.7382*0.16</f>
        <v>65.398111999999998</v>
      </c>
      <c r="J13" s="20" t="s">
        <v>37</v>
      </c>
      <c r="K13" t="s">
        <v>3</v>
      </c>
      <c r="L13" s="3" t="s">
        <v>38</v>
      </c>
    </row>
    <row r="14" spans="1:12" s="19" customFormat="1">
      <c r="A14" s="88"/>
      <c r="B14" s="39" t="s">
        <v>39</v>
      </c>
      <c r="C14" s="28" t="s">
        <v>40</v>
      </c>
      <c r="D14" s="45">
        <v>11730</v>
      </c>
      <c r="E14" s="39" t="s">
        <v>35</v>
      </c>
      <c r="F14" s="39" t="s">
        <v>41</v>
      </c>
      <c r="G14" s="22"/>
      <c r="H14" s="39" t="s">
        <v>3</v>
      </c>
      <c r="I14" s="22"/>
      <c r="J14" s="39" t="s">
        <v>37</v>
      </c>
      <c r="K14" s="19" t="s">
        <v>3</v>
      </c>
    </row>
    <row r="15" spans="1:12" ht="45">
      <c r="A15" t="s">
        <v>42</v>
      </c>
      <c r="B15" s="20" t="s">
        <v>33</v>
      </c>
      <c r="C15" s="63" t="s">
        <v>43</v>
      </c>
      <c r="D15" s="64">
        <v>0.36</v>
      </c>
      <c r="E15" s="64" t="s">
        <v>13</v>
      </c>
      <c r="F15" s="65" t="s">
        <v>44</v>
      </c>
      <c r="G15" s="66">
        <f>0.36/1000*2.6*1927.3</f>
        <v>1.8039528</v>
      </c>
      <c r="H15" s="65" t="s">
        <v>45</v>
      </c>
      <c r="I15" s="66">
        <f>2.6*1927.3*H9/1000</f>
        <v>0.17037332000000002</v>
      </c>
      <c r="J15" s="20" t="s">
        <v>37</v>
      </c>
    </row>
    <row r="16" spans="1:12" ht="61.9" customHeight="1">
      <c r="A16" t="s">
        <v>42</v>
      </c>
      <c r="B16" s="20" t="s">
        <v>33</v>
      </c>
      <c r="C16" s="63" t="s">
        <v>46</v>
      </c>
      <c r="D16" s="64">
        <v>1.8</v>
      </c>
      <c r="E16" s="64" t="s">
        <v>13</v>
      </c>
      <c r="F16" s="65" t="s">
        <v>47</v>
      </c>
      <c r="G16" s="66">
        <f>0.0018*2.6*327</f>
        <v>1.5303599999999999</v>
      </c>
      <c r="H16" s="65" t="s">
        <v>45</v>
      </c>
      <c r="I16" s="66">
        <f>2.6*327*H8/1000</f>
        <v>0.14189837999999999</v>
      </c>
      <c r="J16" s="20" t="s">
        <v>37</v>
      </c>
    </row>
    <row r="17" spans="1:11">
      <c r="A17" t="s">
        <v>48</v>
      </c>
      <c r="B17" s="20" t="s">
        <v>33</v>
      </c>
      <c r="C17" s="63" t="s">
        <v>49</v>
      </c>
      <c r="D17" s="64">
        <v>7.63</v>
      </c>
      <c r="E17" s="64" t="s">
        <v>25</v>
      </c>
      <c r="F17" s="65" t="s">
        <v>50</v>
      </c>
      <c r="G17" s="67">
        <f>7.63*2.6</f>
        <v>19.838000000000001</v>
      </c>
      <c r="H17" s="68" t="s">
        <v>6</v>
      </c>
      <c r="I17" s="66">
        <f>19.838*0.18</f>
        <v>3.57084</v>
      </c>
      <c r="J17" s="20" t="s">
        <v>37</v>
      </c>
      <c r="K17" s="3" t="s">
        <v>51</v>
      </c>
    </row>
    <row r="18" spans="1:11">
      <c r="A18" t="s">
        <v>48</v>
      </c>
      <c r="B18" s="20" t="s">
        <v>33</v>
      </c>
      <c r="C18" s="63" t="s">
        <v>52</v>
      </c>
      <c r="D18" s="64">
        <v>75.599999999999994</v>
      </c>
      <c r="E18" s="64" t="s">
        <v>53</v>
      </c>
      <c r="F18" s="65" t="s">
        <v>54</v>
      </c>
      <c r="G18" s="69">
        <f>75.6*2.6</f>
        <v>196.56</v>
      </c>
      <c r="H18" s="68" t="s">
        <v>6</v>
      </c>
      <c r="I18" s="66">
        <f>196.56*0.18</f>
        <v>35.380800000000001</v>
      </c>
      <c r="J18" s="20" t="s">
        <v>37</v>
      </c>
      <c r="K18" s="3" t="s">
        <v>55</v>
      </c>
    </row>
    <row r="19" spans="1:11" ht="30">
      <c r="A19" t="s">
        <v>48</v>
      </c>
      <c r="B19" s="20"/>
      <c r="C19" s="63" t="s">
        <v>56</v>
      </c>
      <c r="D19" s="64">
        <v>178.5</v>
      </c>
      <c r="E19" s="64" t="s">
        <v>57</v>
      </c>
      <c r="F19" s="65" t="s">
        <v>58</v>
      </c>
      <c r="G19" s="69">
        <f>0.1785*16</f>
        <v>2.8559999999999999</v>
      </c>
      <c r="H19" s="68" t="s">
        <v>6</v>
      </c>
      <c r="I19" s="66">
        <f>2.856*0.18</f>
        <v>0.51407999999999998</v>
      </c>
      <c r="J19" s="20" t="s">
        <v>37</v>
      </c>
      <c r="K19" s="8" t="s">
        <v>59</v>
      </c>
    </row>
    <row r="20" spans="1:11" ht="30">
      <c r="A20" t="s">
        <v>48</v>
      </c>
      <c r="B20" s="20"/>
      <c r="C20" s="63" t="s">
        <v>60</v>
      </c>
      <c r="D20" s="64">
        <v>38.299999999999997</v>
      </c>
      <c r="E20" s="64" t="s">
        <v>61</v>
      </c>
      <c r="F20" s="65" t="s">
        <v>62</v>
      </c>
      <c r="G20" s="69">
        <f>38.3*1.7</f>
        <v>65.11</v>
      </c>
      <c r="H20" s="68" t="s">
        <v>6</v>
      </c>
      <c r="I20" s="66">
        <f>65.11*0.18</f>
        <v>11.719799999999999</v>
      </c>
      <c r="J20" s="20" t="s">
        <v>37</v>
      </c>
      <c r="K20" s="3" t="s">
        <v>63</v>
      </c>
    </row>
    <row r="21" spans="1:11" ht="30">
      <c r="A21" t="s">
        <v>48</v>
      </c>
      <c r="B21" s="50" t="s">
        <v>64</v>
      </c>
      <c r="C21" s="70" t="s">
        <v>65</v>
      </c>
      <c r="D21" s="71"/>
      <c r="E21" s="71"/>
      <c r="F21" s="71" t="s">
        <v>66</v>
      </c>
      <c r="G21" s="72" t="s">
        <v>67</v>
      </c>
      <c r="H21" s="71"/>
      <c r="I21" s="73" t="s">
        <v>28</v>
      </c>
      <c r="K21" t="s">
        <v>68</v>
      </c>
    </row>
    <row r="22" spans="1:11">
      <c r="A22" t="s">
        <v>48</v>
      </c>
      <c r="B22" s="46">
        <v>896</v>
      </c>
      <c r="C22" s="51" t="s">
        <v>69</v>
      </c>
      <c r="D22" s="48"/>
      <c r="E22" s="48"/>
      <c r="F22" s="48">
        <f>$B$25*$B$22*(520-20)/1000/1000</f>
        <v>1.0528</v>
      </c>
      <c r="G22" s="49">
        <f>F22/0.7</f>
        <v>1.504</v>
      </c>
      <c r="H22" s="48" t="s">
        <v>6</v>
      </c>
      <c r="I22" s="49">
        <f>G22*I$4</f>
        <v>0.26821333333333336</v>
      </c>
      <c r="K22" s="9" t="s">
        <v>70</v>
      </c>
    </row>
    <row r="23" spans="1:11" ht="117.6" customHeight="1">
      <c r="B23" s="47" t="s">
        <v>71</v>
      </c>
      <c r="C23" s="51" t="s">
        <v>72</v>
      </c>
      <c r="D23" s="48"/>
      <c r="E23" s="48"/>
      <c r="F23" s="48">
        <f>$B$25*$B$22*(160-20)/1000000</f>
        <v>0.29478399999999999</v>
      </c>
      <c r="G23" s="49">
        <f>F23/0.7</f>
        <v>0.42111999999999999</v>
      </c>
      <c r="H23" s="48" t="s">
        <v>6</v>
      </c>
      <c r="I23" s="49">
        <f>G23*I$4</f>
        <v>7.5099733333333335E-2</v>
      </c>
      <c r="K23" s="9" t="s">
        <v>73</v>
      </c>
    </row>
    <row r="24" spans="1:11" ht="117.6" customHeight="1">
      <c r="B24" s="74"/>
      <c r="C24" s="75"/>
      <c r="D24" s="76"/>
      <c r="E24" s="78" t="s">
        <v>74</v>
      </c>
      <c r="F24" s="76"/>
      <c r="G24" s="77">
        <f>G22+G23</f>
        <v>1.9251199999999999</v>
      </c>
      <c r="H24" s="76"/>
      <c r="I24" s="77">
        <f>I22+I23</f>
        <v>0.34331306666666672</v>
      </c>
      <c r="K24" s="9"/>
    </row>
    <row r="25" spans="1:11">
      <c r="A25" t="s">
        <v>48</v>
      </c>
      <c r="B25" s="20">
        <v>2.35</v>
      </c>
      <c r="C25" s="27" t="s">
        <v>75</v>
      </c>
      <c r="D25" s="20">
        <v>12.51</v>
      </c>
      <c r="E25" s="20" t="s">
        <v>76</v>
      </c>
      <c r="F25" s="42" t="s">
        <v>77</v>
      </c>
      <c r="G25" s="24">
        <v>12.51</v>
      </c>
      <c r="H25" s="43" t="s">
        <v>6</v>
      </c>
      <c r="I25" s="24">
        <f>12.51*0.18</f>
        <v>2.2517999999999998</v>
      </c>
      <c r="J25" s="20" t="s">
        <v>37</v>
      </c>
    </row>
    <row r="26" spans="1:11" ht="60">
      <c r="A26" t="s">
        <v>42</v>
      </c>
      <c r="B26" s="20"/>
      <c r="C26" s="27" t="s">
        <v>78</v>
      </c>
      <c r="D26" s="20">
        <v>0.36</v>
      </c>
      <c r="E26" s="20" t="s">
        <v>13</v>
      </c>
      <c r="F26" s="42" t="s">
        <v>44</v>
      </c>
      <c r="G26" s="23">
        <f>0.36/1000*2.35*18389.5</f>
        <v>15.557516999999999</v>
      </c>
      <c r="H26" s="43" t="s">
        <v>45</v>
      </c>
      <c r="I26" s="23">
        <f>2.35*18389.5*H9/1000</f>
        <v>1.4693210500000002</v>
      </c>
      <c r="J26" s="20" t="s">
        <v>37</v>
      </c>
    </row>
    <row r="27" spans="1:11" s="31" customFormat="1">
      <c r="A27" s="31" t="s">
        <v>79</v>
      </c>
      <c r="C27" s="32" t="s">
        <v>80</v>
      </c>
      <c r="G27" s="36"/>
      <c r="H27" s="33" t="s">
        <v>10</v>
      </c>
      <c r="I27" s="37"/>
      <c r="J27" s="34"/>
      <c r="K27" s="35"/>
    </row>
    <row r="28" spans="1:11" ht="81.75" customHeight="1">
      <c r="A28" t="s">
        <v>81</v>
      </c>
      <c r="C28" s="29" t="s">
        <v>82</v>
      </c>
      <c r="D28">
        <v>0.04</v>
      </c>
      <c r="E28" t="s">
        <v>83</v>
      </c>
      <c r="F28" s="6">
        <f>0.04</f>
        <v>0.04</v>
      </c>
      <c r="G28" s="24">
        <v>0.4</v>
      </c>
      <c r="H28" s="18" t="s">
        <v>10</v>
      </c>
      <c r="I28" s="24">
        <f>0.4*0.07</f>
        <v>2.8000000000000004E-2</v>
      </c>
      <c r="J28" t="s">
        <v>37</v>
      </c>
      <c r="K28" s="3"/>
    </row>
    <row r="29" spans="1:11" ht="81.75" customHeight="1">
      <c r="A29" t="s">
        <v>81</v>
      </c>
      <c r="C29" s="30" t="s">
        <v>84</v>
      </c>
      <c r="D29">
        <v>34</v>
      </c>
      <c r="E29" t="s">
        <v>25</v>
      </c>
      <c r="F29" s="6" t="s">
        <v>85</v>
      </c>
      <c r="G29" s="25">
        <v>88.4</v>
      </c>
      <c r="H29" s="18" t="s">
        <v>10</v>
      </c>
      <c r="I29" s="25">
        <f>88.4*0.07</f>
        <v>6.1880000000000006</v>
      </c>
      <c r="J29" t="s">
        <v>37</v>
      </c>
      <c r="K29" s="3"/>
    </row>
    <row r="30" spans="1:11">
      <c r="C30" s="1"/>
    </row>
    <row r="31" spans="1:11">
      <c r="C31" s="1"/>
    </row>
    <row r="32" spans="1:11" ht="26.25">
      <c r="A32" t="s">
        <v>86</v>
      </c>
      <c r="C32" s="80" t="s">
        <v>87</v>
      </c>
      <c r="G32" s="81">
        <f>G13+G15+G16+G17+G18+G19+G20+G22+G23+G25+G26+G28+G29</f>
        <v>815.22914979999996</v>
      </c>
      <c r="H32" t="s">
        <v>88</v>
      </c>
      <c r="I32" s="16">
        <f>I13+I15+I16+I17+I18+I19+I20+I24+I25+I26+I28+I29</f>
        <v>127.17633781666667</v>
      </c>
      <c r="J32" t="s">
        <v>37</v>
      </c>
    </row>
    <row r="33" spans="3:5">
      <c r="C33" s="1"/>
    </row>
    <row r="34" spans="3:5">
      <c r="C34" s="1"/>
    </row>
    <row r="35" spans="3:5" ht="31.5">
      <c r="C35" s="62" t="s">
        <v>89</v>
      </c>
      <c r="D35" s="62"/>
    </row>
    <row r="36" spans="3:5"/>
    <row r="37" spans="3:5"/>
    <row r="38" spans="3:5" ht="15" customHeight="1">
      <c r="C38" t="s">
        <v>90</v>
      </c>
      <c r="D38">
        <f>2.35*0.95</f>
        <v>2.2324999999999999</v>
      </c>
    </row>
    <row r="39" spans="3:5" ht="15" customHeight="1">
      <c r="C39" t="s">
        <v>91</v>
      </c>
      <c r="D39" s="79">
        <f>D13/1000</f>
        <v>157.20699999999999</v>
      </c>
    </row>
    <row r="40" spans="3:5" ht="15" customHeight="1">
      <c r="C40" t="s">
        <v>92</v>
      </c>
      <c r="D40" s="4">
        <f>D39*D38</f>
        <v>350.96462749999995</v>
      </c>
    </row>
    <row r="41" spans="3:5" ht="15" customHeight="1">
      <c r="C41" t="s">
        <v>93</v>
      </c>
      <c r="D41">
        <f>350.96*0.07</f>
        <v>24.5672</v>
      </c>
    </row>
    <row r="43" spans="3:5" ht="15" customHeight="1">
      <c r="C43" t="s">
        <v>94</v>
      </c>
      <c r="D43" s="79">
        <f>G32</f>
        <v>815.22914979999996</v>
      </c>
    </row>
    <row r="44" spans="3:5" ht="15" customHeight="1">
      <c r="C44" t="s">
        <v>92</v>
      </c>
      <c r="D44" s="4">
        <f>D40</f>
        <v>350.96462749999995</v>
      </c>
      <c r="E44" s="158" t="s">
        <v>95</v>
      </c>
    </row>
    <row r="45" spans="3:5" ht="15" customHeight="1">
      <c r="C45" t="s">
        <v>96</v>
      </c>
      <c r="D45" s="16">
        <f>I32</f>
        <v>127.17633781666667</v>
      </c>
    </row>
    <row r="46" spans="3:5" ht="15" customHeight="1">
      <c r="C46" t="s">
        <v>93</v>
      </c>
      <c r="D46">
        <f>350.96*0.07</f>
        <v>24.5672</v>
      </c>
      <c r="E46" t="s">
        <v>37</v>
      </c>
    </row>
    <row r="47" spans="3:5" ht="15" customHeight="1">
      <c r="D47" s="79"/>
    </row>
    <row r="48" spans="3:5" ht="15" customHeight="1">
      <c r="C48" s="105" t="s">
        <v>97</v>
      </c>
      <c r="D48" s="106">
        <f>D43-D44</f>
        <v>464.26452230000001</v>
      </c>
      <c r="E48" s="105" t="s">
        <v>95</v>
      </c>
    </row>
    <row r="49" spans="3:10" ht="15" customHeight="1">
      <c r="C49" s="105" t="s">
        <v>98</v>
      </c>
      <c r="D49" s="107">
        <f>D45-D46</f>
        <v>102.60913781666667</v>
      </c>
      <c r="E49" s="105" t="s">
        <v>37</v>
      </c>
    </row>
    <row r="51" spans="3:10" ht="15" customHeight="1">
      <c r="D51">
        <f>D49*1.13*10^-8</f>
        <v>1.1594832573283333E-6</v>
      </c>
    </row>
    <row r="58" spans="3:10" ht="15" customHeight="1">
      <c r="H58" t="s">
        <v>99</v>
      </c>
      <c r="I58" s="114">
        <f>G17+G18+G19+G20+G24+G25</f>
        <v>298.79911999999996</v>
      </c>
      <c r="J58" s="16">
        <f>I17+I18+I19+I20+I24+I25</f>
        <v>53.780633066666667</v>
      </c>
    </row>
    <row r="59" spans="3:10" ht="15" customHeight="1">
      <c r="H59" t="s">
        <v>100</v>
      </c>
      <c r="I59">
        <f>G28+G29</f>
        <v>88.800000000000011</v>
      </c>
      <c r="J59">
        <f>I28+I29</f>
        <v>6.2160000000000002</v>
      </c>
    </row>
    <row r="60" spans="3:10" ht="15" customHeight="1">
      <c r="H60" t="s">
        <v>45</v>
      </c>
      <c r="I60" s="16">
        <f>G15+G16+G26</f>
        <v>18.8918298</v>
      </c>
      <c r="J60" s="16">
        <f>I15+I16+I26</f>
        <v>1.7815927500000002</v>
      </c>
    </row>
    <row r="79" spans="9:9" ht="15" customHeight="1">
      <c r="I79">
        <f>130*I$28/1000+Al!I26*I$29/1000</f>
        <v>1.2732158657400003E-2</v>
      </c>
    </row>
  </sheetData>
  <mergeCells count="1">
    <mergeCell ref="B11:K11"/>
  </mergeCells>
  <hyperlinks>
    <hyperlink ref="K17" r:id="rId1" xr:uid="{114424F7-ECD6-45E8-A55B-5AF29534A341}"/>
    <hyperlink ref="K20" r:id="rId2" display="TIG welding paper" xr:uid="{E2C588A3-F67D-4E71-967F-4FE676A6F8B3}"/>
    <hyperlink ref="K18" r:id="rId3" xr:uid="{B727325D-AF04-46C9-8803-68235A38A5C7}"/>
    <hyperlink ref="K19" r:id="rId4" xr:uid="{220EF534-9D38-4998-861C-CD2022F18746}"/>
    <hyperlink ref="K4" r:id="rId5" xr:uid="{338B0677-8B12-4DF0-9C36-26F5DA6AC56D}"/>
    <hyperlink ref="K5" r:id="rId6" xr:uid="{C1248B4C-5556-4DA1-B638-4B746003AA94}"/>
    <hyperlink ref="K6" r:id="rId7" xr:uid="{D92CCF9B-002E-44E3-B96A-AB1C98BCB500}"/>
    <hyperlink ref="K7" r:id="rId8" xr:uid="{0395C722-BBA3-499B-87D7-25122CB46688}"/>
    <hyperlink ref="L13" r:id="rId9" xr:uid="{3AEC3F28-6325-4F2D-AF03-370025546ED3}"/>
    <hyperlink ref="J10" r:id="rId10" xr:uid="{58B53731-47DC-40F6-9C1B-C27AC9AC749C}"/>
    <hyperlink ref="J8" r:id="rId11" xr:uid="{4C7D07B0-72EA-47D0-A6F5-A86B1AB2BF06}"/>
    <hyperlink ref="J9" r:id="rId12" xr:uid="{4F014F41-A294-48F1-A878-875371623D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18FE-CD9D-4D2E-A134-8E8754F26248}">
  <dimension ref="B1:L118"/>
  <sheetViews>
    <sheetView showGridLines="0" zoomScale="87" zoomScaleNormal="40" workbookViewId="0">
      <selection activeCell="D123" sqref="D123"/>
    </sheetView>
  </sheetViews>
  <sheetFormatPr defaultColWidth="8.85546875" defaultRowHeight="15"/>
  <cols>
    <col min="4" max="4" width="40.5703125" customWidth="1"/>
    <col min="5" max="5" width="28.140625" style="1" customWidth="1"/>
    <col min="6" max="6" width="22.28515625" customWidth="1"/>
    <col min="7" max="7" width="10.42578125" bestFit="1" customWidth="1"/>
    <col min="8" max="8" width="35.5703125" customWidth="1"/>
    <col min="9" max="9" width="14.5703125" bestFit="1" customWidth="1"/>
    <col min="10" max="10" width="115.28515625" bestFit="1" customWidth="1"/>
    <col min="11" max="11" width="44.28515625" customWidth="1"/>
    <col min="12" max="12" width="31.5703125" bestFit="1" customWidth="1"/>
  </cols>
  <sheetData>
    <row r="1" spans="4:11" ht="18.75">
      <c r="D1" s="83" t="s">
        <v>42</v>
      </c>
      <c r="J1" s="2" t="s">
        <v>101</v>
      </c>
    </row>
    <row r="2" spans="4:11">
      <c r="E2" s="11" t="s">
        <v>1</v>
      </c>
      <c r="F2" s="10">
        <v>3.6</v>
      </c>
      <c r="G2" s="10" t="s">
        <v>2</v>
      </c>
      <c r="H2" s="10"/>
      <c r="I2" s="10"/>
      <c r="J2" s="10"/>
    </row>
    <row r="3" spans="4:11">
      <c r="E3" s="10" t="s">
        <v>3</v>
      </c>
      <c r="F3" s="10">
        <v>582</v>
      </c>
      <c r="G3" s="10" t="s">
        <v>4</v>
      </c>
      <c r="H3" s="89">
        <f>F3/1000/$F$2</f>
        <v>0.16166666666666665</v>
      </c>
      <c r="I3" s="10" t="s">
        <v>102</v>
      </c>
      <c r="J3" s="98" t="s">
        <v>7</v>
      </c>
    </row>
    <row r="4" spans="4:11">
      <c r="E4" s="10" t="s">
        <v>6</v>
      </c>
      <c r="F4" s="10">
        <v>642</v>
      </c>
      <c r="G4" s="10" t="s">
        <v>4</v>
      </c>
      <c r="H4" s="89">
        <f>F4/1000/$F$2</f>
        <v>0.17833333333333334</v>
      </c>
      <c r="I4" s="10" t="s">
        <v>102</v>
      </c>
      <c r="J4" s="98" t="s">
        <v>7</v>
      </c>
    </row>
    <row r="5" spans="4:11">
      <c r="E5" s="10" t="s">
        <v>8</v>
      </c>
      <c r="F5" s="10">
        <v>485</v>
      </c>
      <c r="G5" s="10" t="s">
        <v>4</v>
      </c>
      <c r="H5" s="89">
        <f>F5/1000/$F$2</f>
        <v>0.13472222222222222</v>
      </c>
      <c r="I5" s="10" t="s">
        <v>102</v>
      </c>
      <c r="J5" s="98" t="s">
        <v>7</v>
      </c>
    </row>
    <row r="6" spans="4:11">
      <c r="E6" s="10" t="s">
        <v>9</v>
      </c>
      <c r="F6" s="10">
        <v>381</v>
      </c>
      <c r="G6" s="10" t="s">
        <v>4</v>
      </c>
      <c r="H6" s="89">
        <f>F6/1000/$F$2</f>
        <v>0.10583333333333333</v>
      </c>
      <c r="I6" s="10" t="s">
        <v>102</v>
      </c>
      <c r="J6" s="98" t="s">
        <v>7</v>
      </c>
    </row>
    <row r="7" spans="4:11">
      <c r="E7" s="10" t="s">
        <v>10</v>
      </c>
      <c r="F7" s="10">
        <v>268</v>
      </c>
      <c r="G7" s="10" t="s">
        <v>4</v>
      </c>
      <c r="H7" s="89">
        <f>F7/1000/$F$2</f>
        <v>7.4444444444444452E-2</v>
      </c>
      <c r="I7" s="10" t="s">
        <v>102</v>
      </c>
      <c r="J7" s="98" t="s">
        <v>7</v>
      </c>
    </row>
    <row r="9" spans="4:11">
      <c r="D9" s="109" t="s">
        <v>16</v>
      </c>
    </row>
    <row r="11" spans="4:11" ht="26.25" hidden="1">
      <c r="D11" s="55" t="s">
        <v>103</v>
      </c>
    </row>
    <row r="12" spans="4:11" hidden="1">
      <c r="D12" t="s">
        <v>22</v>
      </c>
      <c r="F12" s="2" t="s">
        <v>23</v>
      </c>
      <c r="G12" s="2"/>
      <c r="H12" s="2" t="s">
        <v>104</v>
      </c>
      <c r="I12" s="2"/>
      <c r="J12" s="2"/>
      <c r="K12" s="2"/>
    </row>
    <row r="13" spans="4:11" hidden="1">
      <c r="D13" t="s">
        <v>33</v>
      </c>
      <c r="E13" s="1" t="s">
        <v>34</v>
      </c>
      <c r="F13">
        <v>157207</v>
      </c>
      <c r="G13" t="s">
        <v>35</v>
      </c>
      <c r="H13">
        <v>15947</v>
      </c>
      <c r="I13" t="s">
        <v>105</v>
      </c>
    </row>
    <row r="14" spans="4:11" hidden="1">
      <c r="E14" s="1" t="s">
        <v>40</v>
      </c>
    </row>
    <row r="15" spans="4:11" hidden="1">
      <c r="D15" t="s">
        <v>33</v>
      </c>
      <c r="E15" s="14" t="s">
        <v>106</v>
      </c>
      <c r="F15" s="6">
        <v>7.5999999999999998E-2</v>
      </c>
      <c r="G15" s="6" t="s">
        <v>13</v>
      </c>
      <c r="H15" s="6">
        <v>20</v>
      </c>
      <c r="I15" s="6" t="s">
        <v>107</v>
      </c>
      <c r="J15" s="15" t="s">
        <v>15</v>
      </c>
    </row>
    <row r="16" spans="4:11" hidden="1">
      <c r="D16" t="s">
        <v>33</v>
      </c>
      <c r="E16" s="14" t="s">
        <v>108</v>
      </c>
      <c r="F16" s="6">
        <v>0.129</v>
      </c>
      <c r="G16" s="6" t="s">
        <v>13</v>
      </c>
      <c r="H16" s="6">
        <v>12.8</v>
      </c>
      <c r="I16" s="6" t="s">
        <v>107</v>
      </c>
      <c r="J16" s="6" t="s">
        <v>109</v>
      </c>
    </row>
    <row r="17" spans="3:10" hidden="1">
      <c r="D17" t="s">
        <v>33</v>
      </c>
      <c r="E17" s="1" t="s">
        <v>49</v>
      </c>
      <c r="F17">
        <v>7.63</v>
      </c>
      <c r="G17" t="s">
        <v>25</v>
      </c>
      <c r="H17">
        <v>6.57</v>
      </c>
      <c r="I17" t="s">
        <v>110</v>
      </c>
      <c r="J17" s="3" t="s">
        <v>51</v>
      </c>
    </row>
    <row r="18" spans="3:10" hidden="1">
      <c r="D18" t="s">
        <v>33</v>
      </c>
      <c r="E18" s="1" t="s">
        <v>52</v>
      </c>
      <c r="F18">
        <v>75.599999999999994</v>
      </c>
      <c r="G18" t="s">
        <v>53</v>
      </c>
      <c r="H18" s="7" t="s">
        <v>39</v>
      </c>
      <c r="J18" s="3" t="s">
        <v>55</v>
      </c>
    </row>
    <row r="19" spans="3:10" hidden="1">
      <c r="E19" s="1" t="s">
        <v>111</v>
      </c>
      <c r="F19">
        <v>178.5</v>
      </c>
      <c r="G19" t="s">
        <v>57</v>
      </c>
      <c r="H19">
        <v>4.2599999999999999E-2</v>
      </c>
      <c r="I19" t="s">
        <v>112</v>
      </c>
      <c r="J19" s="8" t="s">
        <v>59</v>
      </c>
    </row>
    <row r="20" spans="3:10" hidden="1">
      <c r="E20" s="1" t="s">
        <v>113</v>
      </c>
      <c r="F20">
        <v>38.299999999999997</v>
      </c>
      <c r="G20" t="s">
        <v>61</v>
      </c>
      <c r="H20">
        <v>2.44</v>
      </c>
      <c r="I20" t="s">
        <v>114</v>
      </c>
      <c r="J20" s="3" t="s">
        <v>63</v>
      </c>
    </row>
    <row r="21" spans="3:10" ht="30" hidden="1">
      <c r="C21" s="10"/>
      <c r="D21" s="82" t="s">
        <v>64</v>
      </c>
      <c r="E21" s="11" t="s">
        <v>69</v>
      </c>
      <c r="F21" s="10"/>
      <c r="G21" s="10"/>
      <c r="H21" s="10"/>
      <c r="J21" t="s">
        <v>115</v>
      </c>
    </row>
    <row r="22" spans="3:10" ht="21" hidden="1" customHeight="1">
      <c r="C22" s="10"/>
      <c r="D22" s="12"/>
      <c r="E22" s="11" t="s">
        <v>72</v>
      </c>
      <c r="F22" s="13"/>
      <c r="G22" s="13"/>
      <c r="H22" s="13" t="s">
        <v>39</v>
      </c>
      <c r="J22" s="9" t="s">
        <v>70</v>
      </c>
    </row>
    <row r="23" spans="3:10" ht="135" hidden="1">
      <c r="C23" s="10"/>
      <c r="D23" s="11" t="s">
        <v>71</v>
      </c>
      <c r="E23" s="11" t="s">
        <v>116</v>
      </c>
      <c r="F23" s="13"/>
      <c r="G23" s="13"/>
      <c r="H23" s="13"/>
      <c r="J23" s="7"/>
    </row>
    <row r="24" spans="3:10" hidden="1">
      <c r="E24" s="1" t="s">
        <v>75</v>
      </c>
      <c r="F24" s="7" t="s">
        <v>117</v>
      </c>
      <c r="G24" s="7"/>
      <c r="H24" s="7" t="s">
        <v>118</v>
      </c>
      <c r="J24" t="s">
        <v>119</v>
      </c>
    </row>
    <row r="25" spans="3:10" hidden="1">
      <c r="E25" s="1" t="s">
        <v>120</v>
      </c>
      <c r="F25" s="7"/>
      <c r="G25" s="7"/>
      <c r="H25" s="7"/>
    </row>
    <row r="26" spans="3:10" ht="51.6" hidden="1" customHeight="1"/>
    <row r="27" spans="3:10">
      <c r="D27" s="10" t="s">
        <v>121</v>
      </c>
      <c r="E27" s="11" t="s">
        <v>12</v>
      </c>
      <c r="F27" s="10">
        <v>1.8</v>
      </c>
      <c r="G27" s="10" t="s">
        <v>13</v>
      </c>
      <c r="H27" s="10">
        <v>0.16689999999999999</v>
      </c>
      <c r="I27" s="10" t="s">
        <v>122</v>
      </c>
      <c r="J27" s="98" t="s">
        <v>15</v>
      </c>
    </row>
    <row r="28" spans="3:10">
      <c r="D28" s="10" t="s">
        <v>123</v>
      </c>
      <c r="E28" s="11" t="s">
        <v>18</v>
      </c>
      <c r="F28" s="10">
        <v>0.36</v>
      </c>
      <c r="G28" s="10" t="s">
        <v>13</v>
      </c>
      <c r="H28" s="108">
        <v>3.4000000000000002E-2</v>
      </c>
      <c r="I28" s="10" t="s">
        <v>122</v>
      </c>
      <c r="J28" s="98" t="s">
        <v>15</v>
      </c>
    </row>
    <row r="29" spans="3:10">
      <c r="D29" s="10" t="s">
        <v>124</v>
      </c>
      <c r="E29" s="11" t="s">
        <v>20</v>
      </c>
      <c r="F29" s="10">
        <v>0.08</v>
      </c>
      <c r="G29" s="10" t="s">
        <v>13</v>
      </c>
      <c r="H29" s="10">
        <v>1.0800000000000001E-2</v>
      </c>
      <c r="I29" s="10" t="s">
        <v>122</v>
      </c>
      <c r="J29" s="98" t="s">
        <v>15</v>
      </c>
    </row>
    <row r="31" spans="3:10" s="84" customFormat="1" ht="24">
      <c r="D31" s="85" t="s">
        <v>125</v>
      </c>
      <c r="E31" s="86"/>
      <c r="F31" s="87" t="s">
        <v>126</v>
      </c>
      <c r="G31" s="87" t="s">
        <v>127</v>
      </c>
      <c r="H31" s="87" t="s">
        <v>128</v>
      </c>
      <c r="I31" s="87" t="s">
        <v>127</v>
      </c>
    </row>
    <row r="33" spans="4:11">
      <c r="D33" s="97" t="s">
        <v>129</v>
      </c>
      <c r="E33" s="101" t="s">
        <v>130</v>
      </c>
      <c r="F33" s="89">
        <v>199.54</v>
      </c>
      <c r="G33" s="10" t="s">
        <v>25</v>
      </c>
      <c r="H33" s="89">
        <f>F33*$H$5</f>
        <v>26.882472222222219</v>
      </c>
      <c r="I33" s="10" t="s">
        <v>131</v>
      </c>
      <c r="J33" s="98" t="s">
        <v>132</v>
      </c>
    </row>
    <row r="34" spans="4:11">
      <c r="E34" s="11" t="s">
        <v>133</v>
      </c>
      <c r="F34" s="89">
        <v>194.91</v>
      </c>
      <c r="G34" s="10" t="s">
        <v>25</v>
      </c>
      <c r="H34" s="89">
        <f>F34*$H$5</f>
        <v>26.258708333333331</v>
      </c>
      <c r="I34" s="10" t="s">
        <v>131</v>
      </c>
      <c r="J34" s="98" t="s">
        <v>132</v>
      </c>
    </row>
    <row r="35" spans="4:11">
      <c r="E35" s="11" t="s">
        <v>134</v>
      </c>
      <c r="F35" s="89">
        <v>316.08999999999997</v>
      </c>
      <c r="G35" s="10" t="s">
        <v>25</v>
      </c>
      <c r="H35" s="89">
        <f>F35*$H$5</f>
        <v>42.584347222222213</v>
      </c>
      <c r="I35" s="10" t="s">
        <v>131</v>
      </c>
      <c r="J35" s="98" t="s">
        <v>132</v>
      </c>
    </row>
    <row r="36" spans="4:11">
      <c r="E36" s="11" t="s">
        <v>135</v>
      </c>
      <c r="F36" s="89">
        <v>24.99</v>
      </c>
      <c r="G36" s="10" t="s">
        <v>25</v>
      </c>
      <c r="H36" s="89">
        <f>F36*$H$5</f>
        <v>3.366708333333333</v>
      </c>
      <c r="I36" s="10" t="s">
        <v>131</v>
      </c>
      <c r="J36" s="98" t="s">
        <v>132</v>
      </c>
    </row>
    <row r="37" spans="4:11">
      <c r="E37" s="11" t="s">
        <v>45</v>
      </c>
      <c r="F37" s="89">
        <f>60*F$27/1000+300*F$28/1000</f>
        <v>0.216</v>
      </c>
      <c r="G37" s="10" t="s">
        <v>25</v>
      </c>
      <c r="H37" s="89">
        <f>60*H$27/1000+280*H$28/1000</f>
        <v>1.9533999999999999E-2</v>
      </c>
      <c r="I37" s="10" t="s">
        <v>131</v>
      </c>
      <c r="J37" s="10" t="s">
        <v>136</v>
      </c>
      <c r="K37" s="120" t="s">
        <v>137</v>
      </c>
    </row>
    <row r="38" spans="4:11">
      <c r="E38" s="11" t="s">
        <v>138</v>
      </c>
      <c r="F38" s="89">
        <f>F33+F34+F35+F36</f>
        <v>735.53</v>
      </c>
      <c r="G38" s="10" t="s">
        <v>25</v>
      </c>
      <c r="H38" s="89">
        <f>H33+H34+H35+H36</f>
        <v>99.092236111111092</v>
      </c>
      <c r="I38" s="10" t="s">
        <v>131</v>
      </c>
    </row>
    <row r="39" spans="4:11" ht="15.75" thickBot="1">
      <c r="E39" s="93" t="s">
        <v>139</v>
      </c>
      <c r="F39" s="94">
        <f>(F50)*F53</f>
        <v>0.65520000000000023</v>
      </c>
      <c r="G39" s="95" t="s">
        <v>140</v>
      </c>
      <c r="H39" s="95"/>
      <c r="I39" s="95"/>
    </row>
    <row r="40" spans="4:11">
      <c r="E40" s="90" t="s">
        <v>141</v>
      </c>
      <c r="F40" s="91">
        <f>F38*$F$39</f>
        <v>481.91925600000013</v>
      </c>
      <c r="G40" s="92" t="s">
        <v>76</v>
      </c>
      <c r="H40" s="91">
        <f>H38*$F$39</f>
        <v>64.925233100000014</v>
      </c>
      <c r="I40" s="92" t="s">
        <v>142</v>
      </c>
    </row>
    <row r="41" spans="4:11">
      <c r="F41" s="4"/>
      <c r="H41" s="4"/>
    </row>
    <row r="42" spans="4:11">
      <c r="D42" s="97" t="s">
        <v>143</v>
      </c>
      <c r="E42" s="101" t="s">
        <v>144</v>
      </c>
      <c r="F42" s="89">
        <v>74.290000000000006</v>
      </c>
      <c r="G42" s="10" t="s">
        <v>25</v>
      </c>
      <c r="H42" s="89">
        <f>F42*$H$5</f>
        <v>10.008513888888888</v>
      </c>
      <c r="I42" s="99" t="s">
        <v>131</v>
      </c>
      <c r="J42" s="98" t="s">
        <v>132</v>
      </c>
    </row>
    <row r="43" spans="4:11">
      <c r="E43" s="11" t="s">
        <v>138</v>
      </c>
      <c r="F43" s="89">
        <f>F42</f>
        <v>74.290000000000006</v>
      </c>
      <c r="G43" s="10" t="s">
        <v>25</v>
      </c>
      <c r="H43" s="89">
        <f>H42</f>
        <v>10.008513888888888</v>
      </c>
      <c r="I43" s="99" t="s">
        <v>131</v>
      </c>
      <c r="J43" s="98" t="s">
        <v>145</v>
      </c>
    </row>
    <row r="44" spans="4:11" ht="15.75" thickBot="1">
      <c r="E44" s="93" t="s">
        <v>139</v>
      </c>
      <c r="F44" s="94">
        <f>(1-F50)*F53</f>
        <v>0.35280000000000006</v>
      </c>
      <c r="G44" s="95" t="s">
        <v>140</v>
      </c>
      <c r="H44" s="95"/>
      <c r="I44" s="95"/>
    </row>
    <row r="45" spans="4:11">
      <c r="E45" s="90" t="s">
        <v>141</v>
      </c>
      <c r="F45" s="91">
        <f>F43*$F$44</f>
        <v>26.209512000000007</v>
      </c>
      <c r="G45" s="92" t="s">
        <v>76</v>
      </c>
      <c r="H45" s="91">
        <f>H43*$F$44</f>
        <v>3.5310037000000003</v>
      </c>
      <c r="I45" s="92" t="s">
        <v>146</v>
      </c>
    </row>
    <row r="46" spans="4:11">
      <c r="F46" s="4"/>
      <c r="H46" s="4"/>
    </row>
    <row r="47" spans="4:11">
      <c r="D47" s="97" t="s">
        <v>147</v>
      </c>
      <c r="E47" s="101" t="s">
        <v>148</v>
      </c>
      <c r="F47" s="89">
        <v>40.04</v>
      </c>
      <c r="G47" s="10" t="s">
        <v>25</v>
      </c>
      <c r="H47" s="89">
        <f>F47*$H$5</f>
        <v>5.3942777777777771</v>
      </c>
      <c r="I47" s="99" t="s">
        <v>131</v>
      </c>
      <c r="J47" s="98" t="s">
        <v>132</v>
      </c>
    </row>
    <row r="48" spans="4:11">
      <c r="E48" s="11" t="s">
        <v>149</v>
      </c>
      <c r="F48" s="89">
        <v>5.5E-2</v>
      </c>
      <c r="G48" s="10" t="s">
        <v>25</v>
      </c>
      <c r="H48" s="89">
        <f>F48*$H$5</f>
        <v>7.4097222222222221E-3</v>
      </c>
      <c r="I48" s="99" t="s">
        <v>131</v>
      </c>
      <c r="J48" s="10"/>
    </row>
    <row r="49" spans="4:10">
      <c r="E49" s="11" t="s">
        <v>138</v>
      </c>
      <c r="F49" s="89">
        <f>F47+F48</f>
        <v>40.094999999999999</v>
      </c>
      <c r="G49" s="10" t="s">
        <v>25</v>
      </c>
      <c r="H49" s="89">
        <f>H47+H48</f>
        <v>5.4016874999999995</v>
      </c>
      <c r="I49" s="99" t="s">
        <v>131</v>
      </c>
      <c r="J49" s="10"/>
    </row>
    <row r="50" spans="4:10">
      <c r="E50" s="11" t="s">
        <v>150</v>
      </c>
      <c r="F50" s="89">
        <v>0.65</v>
      </c>
      <c r="G50" s="10"/>
      <c r="H50" s="10"/>
      <c r="I50" s="99"/>
      <c r="J50" s="10"/>
    </row>
    <row r="51" spans="4:10">
      <c r="E51" s="11" t="s">
        <v>151</v>
      </c>
      <c r="F51" s="89">
        <v>0.35</v>
      </c>
      <c r="G51" s="10"/>
      <c r="H51" s="10"/>
      <c r="I51" s="99"/>
      <c r="J51" s="98" t="s">
        <v>152</v>
      </c>
    </row>
    <row r="52" spans="4:10">
      <c r="E52" s="10" t="s">
        <v>153</v>
      </c>
      <c r="F52" s="89">
        <v>0.05</v>
      </c>
      <c r="G52" s="10"/>
      <c r="H52" s="10"/>
      <c r="I52" s="99"/>
      <c r="J52" s="10" t="s">
        <v>154</v>
      </c>
    </row>
    <row r="53" spans="4:10" ht="15.75" thickBot="1">
      <c r="E53" s="93" t="s">
        <v>139</v>
      </c>
      <c r="F53" s="94">
        <f>(1+F51+F52)*(F72-F73)</f>
        <v>1.0080000000000002</v>
      </c>
      <c r="G53" s="95" t="s">
        <v>140</v>
      </c>
      <c r="H53" s="95"/>
      <c r="I53" s="95"/>
    </row>
    <row r="54" spans="4:10">
      <c r="E54" s="90" t="s">
        <v>141</v>
      </c>
      <c r="F54" s="91">
        <f>F49*$F$53</f>
        <v>40.415760000000006</v>
      </c>
      <c r="G54" s="92" t="s">
        <v>76</v>
      </c>
      <c r="H54" s="91">
        <f>H49*$F$53</f>
        <v>5.4449010000000007</v>
      </c>
      <c r="I54" s="92" t="s">
        <v>146</v>
      </c>
    </row>
    <row r="55" spans="4:10">
      <c r="F55" s="4"/>
    </row>
    <row r="56" spans="4:10">
      <c r="D56" s="97" t="s">
        <v>155</v>
      </c>
      <c r="E56" s="101" t="s">
        <v>156</v>
      </c>
      <c r="F56" s="10">
        <v>11730</v>
      </c>
      <c r="G56" s="10" t="s">
        <v>35</v>
      </c>
      <c r="H56" s="10">
        <v>845</v>
      </c>
      <c r="I56" s="99" t="s">
        <v>157</v>
      </c>
      <c r="J56" s="10" t="s">
        <v>158</v>
      </c>
    </row>
    <row r="57" spans="4:10">
      <c r="E57" s="11" t="s">
        <v>139</v>
      </c>
      <c r="F57" s="89">
        <v>160</v>
      </c>
      <c r="G57" s="10" t="s">
        <v>140</v>
      </c>
      <c r="H57" s="10"/>
      <c r="I57" s="99"/>
      <c r="J57" s="102" t="s">
        <v>159</v>
      </c>
    </row>
    <row r="58" spans="4:10" ht="30">
      <c r="E58" s="11" t="s">
        <v>160</v>
      </c>
      <c r="F58" s="89">
        <v>250</v>
      </c>
      <c r="G58" s="10" t="s">
        <v>2</v>
      </c>
      <c r="H58" s="89">
        <f>F58*$H$4</f>
        <v>44.583333333333336</v>
      </c>
      <c r="I58" s="99" t="s">
        <v>161</v>
      </c>
      <c r="J58" s="103" t="s">
        <v>162</v>
      </c>
    </row>
    <row r="59" spans="4:10">
      <c r="E59" s="11" t="s">
        <v>163</v>
      </c>
      <c r="F59" s="89">
        <v>5</v>
      </c>
      <c r="G59" s="10" t="s">
        <v>2</v>
      </c>
      <c r="H59" s="89">
        <f>F59*$H$4</f>
        <v>0.89166666666666672</v>
      </c>
      <c r="I59" s="99" t="s">
        <v>161</v>
      </c>
      <c r="J59" s="10" t="s">
        <v>164</v>
      </c>
    </row>
    <row r="60" spans="4:10">
      <c r="E60" s="11" t="s">
        <v>139</v>
      </c>
      <c r="F60" s="89">
        <v>140</v>
      </c>
      <c r="G60" s="10" t="s">
        <v>140</v>
      </c>
      <c r="H60" s="10"/>
      <c r="I60" s="10"/>
    </row>
    <row r="61" spans="4:10" ht="15.75" thickBot="1">
      <c r="E61" s="93" t="s">
        <v>165</v>
      </c>
      <c r="F61" s="94">
        <v>500</v>
      </c>
      <c r="G61" s="95" t="s">
        <v>166</v>
      </c>
      <c r="H61" s="95"/>
      <c r="I61" s="95"/>
    </row>
    <row r="62" spans="4:10">
      <c r="E62" s="90" t="s">
        <v>141</v>
      </c>
      <c r="F62" s="91">
        <f>(F56/1000*$F$57+F58+F59)/$F$61</f>
        <v>4.2636000000000003</v>
      </c>
      <c r="G62" s="92" t="s">
        <v>76</v>
      </c>
      <c r="H62" s="91">
        <f>(H56/1000*$F$57+H58+H59)/$F$61</f>
        <v>0.36135</v>
      </c>
      <c r="I62" s="92" t="s">
        <v>167</v>
      </c>
    </row>
    <row r="63" spans="4:10">
      <c r="F63" s="4"/>
    </row>
    <row r="64" spans="4:10" ht="15.75" thickBot="1">
      <c r="D64" s="110" t="s">
        <v>168</v>
      </c>
      <c r="E64" s="93" t="s">
        <v>169</v>
      </c>
      <c r="F64" s="94">
        <v>15</v>
      </c>
      <c r="G64" s="95" t="s">
        <v>25</v>
      </c>
      <c r="H64" s="94">
        <f>F64*$H$3</f>
        <v>2.4249999999999998</v>
      </c>
      <c r="I64" s="95" t="s">
        <v>131</v>
      </c>
      <c r="J64" s="100" t="s">
        <v>170</v>
      </c>
    </row>
    <row r="65" spans="2:12">
      <c r="E65" s="90" t="s">
        <v>141</v>
      </c>
      <c r="F65" s="91">
        <f>F64*$F$73*2</f>
        <v>2.4</v>
      </c>
      <c r="G65" s="92" t="s">
        <v>76</v>
      </c>
      <c r="H65" s="91">
        <f>H64*$F$73*2</f>
        <v>0.38799999999999996</v>
      </c>
      <c r="I65" s="92" t="s">
        <v>146</v>
      </c>
    </row>
    <row r="66" spans="2:12">
      <c r="F66" s="4"/>
    </row>
    <row r="67" spans="2:12" ht="60">
      <c r="D67" s="97" t="s">
        <v>171</v>
      </c>
      <c r="E67" s="11" t="s">
        <v>172</v>
      </c>
      <c r="F67" s="89">
        <v>1.3</v>
      </c>
      <c r="G67" s="10" t="s">
        <v>76</v>
      </c>
      <c r="H67" s="89">
        <f>F67*H4</f>
        <v>0.23183333333333336</v>
      </c>
      <c r="I67" s="10" t="s">
        <v>146</v>
      </c>
      <c r="J67" s="11" t="s">
        <v>173</v>
      </c>
    </row>
    <row r="68" spans="2:12">
      <c r="B68" s="121">
        <f>F68*1.05*0.72</f>
        <v>14.500079999999999</v>
      </c>
      <c r="C68" s="109"/>
      <c r="D68" s="121">
        <f>H68*1.05*0.72</f>
        <v>2.5858476000000001</v>
      </c>
      <c r="E68" s="11" t="s">
        <v>174</v>
      </c>
      <c r="F68" s="89">
        <v>19.18</v>
      </c>
      <c r="G68" s="10" t="s">
        <v>25</v>
      </c>
      <c r="H68" s="89">
        <f>F68*$H$4</f>
        <v>3.4204333333333334</v>
      </c>
      <c r="I68" s="10" t="s">
        <v>131</v>
      </c>
      <c r="J68" s="98" t="s">
        <v>132</v>
      </c>
    </row>
    <row r="69" spans="2:12">
      <c r="B69" s="121">
        <f>F69*1.05*0.72</f>
        <v>16.821000000000002</v>
      </c>
      <c r="C69" s="121"/>
      <c r="D69" s="121">
        <f>H69*1.05*0.72</f>
        <v>2.9997449999999999</v>
      </c>
      <c r="E69" s="11" t="s">
        <v>175</v>
      </c>
      <c r="F69" s="89">
        <v>22.25</v>
      </c>
      <c r="G69" s="10" t="s">
        <v>25</v>
      </c>
      <c r="H69" s="89">
        <f>F69*$H$4</f>
        <v>3.967916666666667</v>
      </c>
      <c r="I69" s="10" t="s">
        <v>131</v>
      </c>
      <c r="J69" s="98" t="s">
        <v>132</v>
      </c>
    </row>
    <row r="70" spans="2:12">
      <c r="C70" s="4"/>
      <c r="D70" s="4"/>
      <c r="E70" s="11" t="s">
        <v>163</v>
      </c>
      <c r="F70" s="89">
        <v>3</v>
      </c>
      <c r="G70" s="10" t="s">
        <v>76</v>
      </c>
      <c r="H70" s="89">
        <f>F70*$H$4</f>
        <v>0.53500000000000003</v>
      </c>
      <c r="I70" s="10" t="s">
        <v>131</v>
      </c>
      <c r="J70" s="10" t="s">
        <v>176</v>
      </c>
    </row>
    <row r="71" spans="2:12">
      <c r="E71" s="11" t="s">
        <v>177</v>
      </c>
      <c r="F71" s="10">
        <v>10</v>
      </c>
      <c r="G71" s="10" t="s">
        <v>76</v>
      </c>
      <c r="H71" s="89">
        <f>F71*$H$4</f>
        <v>1.7833333333333334</v>
      </c>
      <c r="I71" s="10" t="s">
        <v>167</v>
      </c>
      <c r="J71" s="10" t="s">
        <v>154</v>
      </c>
    </row>
    <row r="72" spans="2:12">
      <c r="E72" s="11" t="s">
        <v>178</v>
      </c>
      <c r="F72" s="89">
        <v>0.8</v>
      </c>
      <c r="G72" s="10" t="s">
        <v>140</v>
      </c>
      <c r="H72" s="10"/>
      <c r="I72" s="10"/>
    </row>
    <row r="73" spans="2:12" ht="15.75" thickBot="1">
      <c r="E73" s="93" t="s">
        <v>179</v>
      </c>
      <c r="F73" s="94">
        <v>0.08</v>
      </c>
      <c r="G73" s="95" t="s">
        <v>140</v>
      </c>
      <c r="H73" s="96"/>
      <c r="I73" s="95"/>
    </row>
    <row r="74" spans="2:12">
      <c r="E74" s="90" t="s">
        <v>141</v>
      </c>
      <c r="F74" s="91">
        <f>F70+($F$72-$F$73)*((1+$F$52)*(F68+F69))+F71+F67</f>
        <v>45.621079999999999</v>
      </c>
      <c r="G74" s="92" t="s">
        <v>76</v>
      </c>
      <c r="H74" s="91">
        <f>H70+($F$72-$F$73)*((1+$F$52)*(H68+H69))+H71+H67</f>
        <v>8.1357592666666676</v>
      </c>
      <c r="I74" s="92" t="s">
        <v>167</v>
      </c>
    </row>
    <row r="75" spans="2:12">
      <c r="F75" s="4"/>
    </row>
    <row r="76" spans="2:12">
      <c r="D76" s="97" t="s">
        <v>180</v>
      </c>
      <c r="E76" s="101" t="s">
        <v>181</v>
      </c>
      <c r="F76" s="10">
        <v>1.1100000000000001</v>
      </c>
      <c r="G76" s="10" t="s">
        <v>25</v>
      </c>
      <c r="H76" s="10">
        <v>0.14000000000000001</v>
      </c>
      <c r="I76" s="99" t="s">
        <v>131</v>
      </c>
      <c r="J76" s="119" t="s">
        <v>182</v>
      </c>
      <c r="K76" s="98" t="s">
        <v>183</v>
      </c>
    </row>
    <row r="77" spans="2:12">
      <c r="E77" s="11" t="s">
        <v>184</v>
      </c>
      <c r="F77" s="10">
        <v>34</v>
      </c>
      <c r="G77" s="10" t="s">
        <v>25</v>
      </c>
      <c r="H77" s="10">
        <v>3.12</v>
      </c>
      <c r="I77" s="99" t="s">
        <v>131</v>
      </c>
      <c r="J77" s="98" t="s">
        <v>183</v>
      </c>
      <c r="K77" s="10"/>
    </row>
    <row r="78" spans="2:12">
      <c r="E78" s="11" t="s">
        <v>185</v>
      </c>
      <c r="F78" s="10">
        <v>-10.51</v>
      </c>
      <c r="G78" s="10" t="s">
        <v>25</v>
      </c>
      <c r="H78" s="10">
        <v>1.23</v>
      </c>
      <c r="I78" s="99" t="s">
        <v>131</v>
      </c>
      <c r="J78" s="10" t="s">
        <v>186</v>
      </c>
      <c r="K78" s="98" t="s">
        <v>187</v>
      </c>
      <c r="L78" s="136" t="s">
        <v>188</v>
      </c>
    </row>
    <row r="79" spans="2:12">
      <c r="E79" s="11" t="s">
        <v>189</v>
      </c>
      <c r="F79" s="89">
        <v>2.0299999999999998</v>
      </c>
      <c r="G79" s="10" t="s">
        <v>25</v>
      </c>
      <c r="H79" s="89">
        <f>F79*H7</f>
        <v>0.15112222222222221</v>
      </c>
      <c r="I79" s="99" t="s">
        <v>131</v>
      </c>
      <c r="J79" s="98" t="s">
        <v>190</v>
      </c>
      <c r="K79" s="98" t="s">
        <v>191</v>
      </c>
    </row>
    <row r="80" spans="2:12">
      <c r="E80" s="10" t="s">
        <v>192</v>
      </c>
      <c r="F80" s="89">
        <v>37.36</v>
      </c>
      <c r="G80" s="10" t="s">
        <v>25</v>
      </c>
      <c r="H80" s="89">
        <v>5.4</v>
      </c>
      <c r="I80" s="99" t="s">
        <v>131</v>
      </c>
      <c r="J80" s="10" t="s">
        <v>186</v>
      </c>
      <c r="K80" s="98" t="s">
        <v>193</v>
      </c>
    </row>
    <row r="81" spans="4:12">
      <c r="E81" s="11" t="s">
        <v>194</v>
      </c>
      <c r="F81" s="89">
        <v>10.25</v>
      </c>
      <c r="G81" s="10" t="s">
        <v>25</v>
      </c>
      <c r="H81" s="10">
        <v>1.56</v>
      </c>
      <c r="I81" s="99" t="s">
        <v>131</v>
      </c>
      <c r="J81" s="119" t="s">
        <v>182</v>
      </c>
      <c r="K81" s="98" t="s">
        <v>183</v>
      </c>
      <c r="L81" s="135"/>
    </row>
    <row r="82" spans="4:12">
      <c r="E82" s="11" t="s">
        <v>195</v>
      </c>
      <c r="F82" s="89">
        <v>38.39</v>
      </c>
      <c r="G82" s="10" t="s">
        <v>25</v>
      </c>
      <c r="H82" s="89">
        <f>F82*H7</f>
        <v>2.8579222222222227</v>
      </c>
      <c r="I82" s="99" t="s">
        <v>131</v>
      </c>
      <c r="J82" s="119" t="s">
        <v>182</v>
      </c>
      <c r="K82" s="98" t="s">
        <v>183</v>
      </c>
    </row>
    <row r="84" spans="4:12">
      <c r="F84" s="4"/>
    </row>
    <row r="85" spans="4:12">
      <c r="F85" s="4"/>
    </row>
    <row r="86" spans="4:12">
      <c r="D86" s="110" t="s">
        <v>42</v>
      </c>
      <c r="E86" s="10" t="s">
        <v>196</v>
      </c>
      <c r="F86" s="89">
        <f>(60*F$27/1000+280*F$28/1000)*$F$39</f>
        <v>0.13680576000000003</v>
      </c>
      <c r="G86" s="10" t="s">
        <v>76</v>
      </c>
      <c r="H86" s="89">
        <f>(60*H$27/1000+280*H$28/1000)*$F$39*1000</f>
        <v>12.798676800000004</v>
      </c>
      <c r="I86" s="10" t="s">
        <v>197</v>
      </c>
      <c r="J86" s="10" t="s">
        <v>136</v>
      </c>
    </row>
    <row r="87" spans="4:12">
      <c r="E87" s="155" t="s">
        <v>198</v>
      </c>
      <c r="F87" s="89">
        <f>(120*F$27/1000+280*F$28/1000)*$F$44*0.05</f>
        <v>5.5883520000000013E-3</v>
      </c>
      <c r="G87" s="10" t="s">
        <v>76</v>
      </c>
      <c r="H87" s="89">
        <f>(120*H$27/1000+280*H$28/1000)*1000*$F$44*0.05</f>
        <v>0.52122672000000003</v>
      </c>
      <c r="I87" s="10" t="s">
        <v>197</v>
      </c>
      <c r="J87" s="10" t="s">
        <v>199</v>
      </c>
    </row>
    <row r="88" spans="4:12">
      <c r="E88" s="156"/>
      <c r="F88" s="89">
        <f>(100*F$27/1000+800*F$28/1000)*$F$44*0.05</f>
        <v>8.2555200000000006E-3</v>
      </c>
      <c r="G88" s="10" t="s">
        <v>76</v>
      </c>
      <c r="H88" s="89">
        <f>(100*H$27/1000+800*H$28/1000)*$F$44*0.05*1000</f>
        <v>0.77421960000000012</v>
      </c>
      <c r="I88" s="10" t="s">
        <v>197</v>
      </c>
      <c r="J88" s="10" t="s">
        <v>200</v>
      </c>
    </row>
    <row r="89" spans="4:12">
      <c r="E89" s="157"/>
      <c r="F89" s="89">
        <f>(600*F$28/1000+60*F$27/1000)*$F$44*0.9</f>
        <v>0.10287648000000002</v>
      </c>
      <c r="G89" s="10" t="s">
        <v>76</v>
      </c>
      <c r="H89" s="89">
        <f>(600*H$28/1000+60*H$27/1000)*$F$44*0.9*1000</f>
        <v>9.6570532800000013</v>
      </c>
      <c r="I89" s="10" t="s">
        <v>197</v>
      </c>
      <c r="J89" s="10" t="s">
        <v>201</v>
      </c>
    </row>
    <row r="90" spans="4:12">
      <c r="E90" s="10" t="s">
        <v>202</v>
      </c>
      <c r="F90" s="89">
        <f>(50*F$27/1000+1900*F$28/1000)*$F$53</f>
        <v>0.78019200000000022</v>
      </c>
      <c r="G90" s="10" t="s">
        <v>76</v>
      </c>
      <c r="H90" s="89">
        <f>(50*H$27/1000+1900*H$28/1000)*$F$53*1000</f>
        <v>73.528560000000027</v>
      </c>
      <c r="I90" s="10" t="s">
        <v>197</v>
      </c>
      <c r="J90" s="10" t="s">
        <v>203</v>
      </c>
    </row>
    <row r="91" spans="4:12">
      <c r="E91" s="10" t="s">
        <v>204</v>
      </c>
      <c r="F91" s="89">
        <f>(320*F$29/1000+1400*F$28/1000)*$F$57/$F$61</f>
        <v>0.16947199999999998</v>
      </c>
      <c r="G91" s="10" t="s">
        <v>76</v>
      </c>
      <c r="H91" s="89">
        <f>(320*H$29/1000+1400*H$28/1000)*$F$57/$F$61*1000</f>
        <v>16.33792</v>
      </c>
      <c r="I91" s="10" t="s">
        <v>197</v>
      </c>
      <c r="J91" s="10" t="s">
        <v>205</v>
      </c>
    </row>
    <row r="92" spans="4:12">
      <c r="E92" s="10" t="s">
        <v>206</v>
      </c>
      <c r="F92" s="89">
        <f>(1700*F$28/1000)*$F$73*2</f>
        <v>9.7920000000000007E-2</v>
      </c>
      <c r="G92" s="10" t="s">
        <v>76</v>
      </c>
      <c r="H92" s="89">
        <f>(1700*H$28/1000)*$F$73*2*1000</f>
        <v>9.2480000000000011</v>
      </c>
      <c r="I92" s="10" t="s">
        <v>197</v>
      </c>
      <c r="J92" s="10" t="s">
        <v>207</v>
      </c>
    </row>
    <row r="93" spans="4:12" ht="15.75" thickBot="1">
      <c r="E93" s="95" t="s">
        <v>208</v>
      </c>
      <c r="F93" s="94">
        <f>(130*F$27/1000+18400*F$28/1000)*$F$72</f>
        <v>5.4863999999999997</v>
      </c>
      <c r="G93" s="94" t="s">
        <v>76</v>
      </c>
      <c r="H93" s="94">
        <f>(130*H$27/1000+18400*H$28/1000)*$F$72*1000</f>
        <v>517.83760000000007</v>
      </c>
      <c r="I93" s="94" t="s">
        <v>197</v>
      </c>
      <c r="J93" s="100" t="s">
        <v>209</v>
      </c>
    </row>
    <row r="94" spans="4:12">
      <c r="E94" s="92" t="s">
        <v>86</v>
      </c>
      <c r="F94" s="91">
        <f>SUM(F86:F93)</f>
        <v>6.7875101119999997</v>
      </c>
      <c r="G94" s="91" t="s">
        <v>76</v>
      </c>
      <c r="H94" s="91">
        <f>SUM(H86:H93)</f>
        <v>640.7032564000001</v>
      </c>
      <c r="I94" s="10" t="s">
        <v>197</v>
      </c>
    </row>
    <row r="95" spans="4:12">
      <c r="F95" s="4"/>
    </row>
    <row r="96" spans="4:12">
      <c r="F96" s="4"/>
    </row>
    <row r="97" spans="4:10" s="5" customFormat="1" ht="15.75" thickBot="1">
      <c r="E97" s="133"/>
      <c r="H97" s="134"/>
    </row>
    <row r="98" spans="4:10" s="5" customFormat="1" ht="15.75" hidden="1" thickBot="1">
      <c r="E98" s="1"/>
    </row>
    <row r="99" spans="4:10" ht="15.75" hidden="1" thickTop="1">
      <c r="E99" s="122" t="s">
        <v>210</v>
      </c>
      <c r="F99" s="123">
        <f>F79*F72+F74+F65+F62+F54+F45+F40</f>
        <v>602.45320800000013</v>
      </c>
      <c r="G99" s="124" t="s">
        <v>76</v>
      </c>
      <c r="H99" s="125">
        <f>H79*$F$72+$H$74+$H$65+$H$62+$H$54+$H$45+$H$40</f>
        <v>82.90714484444446</v>
      </c>
      <c r="I99" s="124" t="s">
        <v>211</v>
      </c>
    </row>
    <row r="100" spans="4:10" hidden="1">
      <c r="E100" s="126" t="s">
        <v>212</v>
      </c>
      <c r="F100" s="127">
        <f>F80*F72+F74+F65+F62+F54+F45+F40</f>
        <v>630.71720800000014</v>
      </c>
      <c r="G100" s="128" t="s">
        <v>76</v>
      </c>
      <c r="H100" s="127">
        <f>H80*$F$72+$H$74+$H$65+$H$62+$H$54+$H$45+$H$40</f>
        <v>87.106247066666683</v>
      </c>
      <c r="I100" s="128" t="s">
        <v>211</v>
      </c>
    </row>
    <row r="101" spans="4:10" hidden="1">
      <c r="E101" s="129" t="s">
        <v>213</v>
      </c>
      <c r="F101" s="127">
        <f>F81*F72+F74+F65+F62+F54+F45+F40</f>
        <v>609.02920800000015</v>
      </c>
      <c r="G101" s="128" t="s">
        <v>76</v>
      </c>
      <c r="H101" s="127">
        <f>H81*$F$72+$H$74+$H$65+$H$62+$H$54+$H$45+$H$40</f>
        <v>84.03424706666668</v>
      </c>
      <c r="I101" s="128" t="s">
        <v>211</v>
      </c>
    </row>
    <row r="102" spans="4:10" s="5" customFormat="1" ht="15.75" hidden="1" thickBot="1">
      <c r="E102" s="130" t="s">
        <v>214</v>
      </c>
      <c r="F102" s="131">
        <f>F82*F72+F74+F65+F62+F54+F45+F40</f>
        <v>631.5412080000001</v>
      </c>
      <c r="G102" s="132" t="s">
        <v>76</v>
      </c>
      <c r="H102" s="131">
        <f>H82*$F$72+$H$74+$H$65+$H$62+$H$54+$H$45+$H$40</f>
        <v>85.072584844444464</v>
      </c>
      <c r="I102" s="132" t="s">
        <v>211</v>
      </c>
    </row>
    <row r="103" spans="4:10" ht="21.75" thickTop="1">
      <c r="D103" s="118" t="s">
        <v>86</v>
      </c>
    </row>
    <row r="104" spans="4:10">
      <c r="D104" s="2"/>
      <c r="E104" s="97" t="s">
        <v>215</v>
      </c>
      <c r="F104" s="104">
        <f>F40+F45+F54+F65</f>
        <v>550.9445280000001</v>
      </c>
      <c r="G104" s="10" t="s">
        <v>76</v>
      </c>
      <c r="H104" s="89">
        <f>H40+H45+H54+H65</f>
        <v>74.28913780000002</v>
      </c>
      <c r="I104" s="10" t="s">
        <v>167</v>
      </c>
    </row>
    <row r="105" spans="4:10">
      <c r="E105" s="115" t="s">
        <v>216</v>
      </c>
      <c r="F105" s="104">
        <f>F62+F74</f>
        <v>49.884680000000003</v>
      </c>
      <c r="G105" s="10" t="s">
        <v>76</v>
      </c>
      <c r="H105" s="89">
        <f>H62+H74</f>
        <v>8.4971092666666674</v>
      </c>
      <c r="I105" s="10" t="s">
        <v>146</v>
      </c>
    </row>
    <row r="106" spans="4:10">
      <c r="E106" s="116" t="s">
        <v>217</v>
      </c>
      <c r="F106" s="112">
        <f>((F76+F82+(F77+F78)+F79+F80+F81)*$F$72)/6</f>
        <v>15.017333333333333</v>
      </c>
      <c r="G106" s="111" t="s">
        <v>76</v>
      </c>
      <c r="H106" s="112">
        <f>((H76+H82+(H77+H78)+H79+H80+H81)*$F$72)/6</f>
        <v>1.9278725925925928</v>
      </c>
      <c r="I106" s="111" t="s">
        <v>167</v>
      </c>
      <c r="J106" s="10" t="s">
        <v>218</v>
      </c>
    </row>
    <row r="107" spans="4:10" ht="15.75" thickBot="1">
      <c r="E107" s="117" t="s">
        <v>219</v>
      </c>
      <c r="F107" s="113">
        <f>F94</f>
        <v>6.7875101119999997</v>
      </c>
      <c r="G107" s="113" t="s">
        <v>76</v>
      </c>
      <c r="H107" s="113">
        <f>H94/1000</f>
        <v>0.64070325640000014</v>
      </c>
      <c r="I107" s="113" t="s">
        <v>146</v>
      </c>
    </row>
    <row r="108" spans="4:10" ht="15.75" thickTop="1">
      <c r="E108" s="138" t="s">
        <v>86</v>
      </c>
      <c r="F108" s="139">
        <f>SUM(F104:F107)</f>
        <v>622.6340514453334</v>
      </c>
      <c r="G108" s="140" t="s">
        <v>2</v>
      </c>
      <c r="H108" s="139">
        <f>SUM(H104:H107)</f>
        <v>85.354822915659284</v>
      </c>
      <c r="I108" s="140" t="s">
        <v>161</v>
      </c>
    </row>
    <row r="110" spans="4:10">
      <c r="D110" s="1"/>
      <c r="E110"/>
      <c r="F110" s="4"/>
      <c r="H110" s="4"/>
      <c r="J110" s="61"/>
    </row>
    <row r="111" spans="4:10">
      <c r="D111" s="10" t="s">
        <v>220</v>
      </c>
      <c r="E111" s="11" t="s">
        <v>181</v>
      </c>
      <c r="F111" s="89">
        <f>F104+F105+F107+(F76)*F72</f>
        <v>608.50471811200009</v>
      </c>
      <c r="G111" s="10" t="s">
        <v>2</v>
      </c>
      <c r="H111" s="89">
        <f>H104+H105+H107+(H76)*F72</f>
        <v>83.538950323066686</v>
      </c>
      <c r="I111" s="10" t="s">
        <v>161</v>
      </c>
      <c r="J111" s="61"/>
    </row>
    <row r="112" spans="4:10">
      <c r="E112" s="11" t="s">
        <v>184</v>
      </c>
      <c r="F112" s="89">
        <f>F104+F105+F107+(F77+F78)*F72</f>
        <v>626.40871811200009</v>
      </c>
      <c r="G112" s="10" t="s">
        <v>2</v>
      </c>
      <c r="H112" s="89">
        <f>H104+H105+H107+(H77+H78)*F72</f>
        <v>86.906950323066695</v>
      </c>
      <c r="I112" s="10" t="s">
        <v>161</v>
      </c>
      <c r="J112" s="61"/>
    </row>
    <row r="113" spans="5:10">
      <c r="E113" s="11" t="s">
        <v>189</v>
      </c>
      <c r="F113" s="89">
        <f>F104+F105+F107+(F79)*F72</f>
        <v>609.24071811200008</v>
      </c>
      <c r="G113" s="10" t="s">
        <v>2</v>
      </c>
      <c r="H113" s="89">
        <f>H104+H105+H107+(H79)*F72</f>
        <v>83.547848100844476</v>
      </c>
      <c r="I113" s="10" t="s">
        <v>161</v>
      </c>
      <c r="J113" s="61"/>
    </row>
    <row r="114" spans="5:10">
      <c r="E114" s="11" t="s">
        <v>192</v>
      </c>
      <c r="F114" s="89">
        <f>F105+F104+F107+(F80)*F72</f>
        <v>637.50471811200009</v>
      </c>
      <c r="G114" s="10" t="s">
        <v>2</v>
      </c>
      <c r="H114" s="89">
        <f>H105+H104+H107+(H80)*F72</f>
        <v>87.746950323066699</v>
      </c>
      <c r="I114" s="10" t="s">
        <v>161</v>
      </c>
      <c r="J114" s="61"/>
    </row>
    <row r="115" spans="5:10">
      <c r="E115" s="11" t="s">
        <v>194</v>
      </c>
      <c r="F115" s="89">
        <f>F104+F105+F107+(F81)*F72</f>
        <v>615.8167181120001</v>
      </c>
      <c r="G115" s="10" t="s">
        <v>2</v>
      </c>
      <c r="H115" s="89">
        <f>H104+H105+H107+(H81)*F72</f>
        <v>84.674950323066696</v>
      </c>
      <c r="I115" s="10" t="s">
        <v>161</v>
      </c>
      <c r="J115" s="61"/>
    </row>
    <row r="116" spans="5:10">
      <c r="E116" s="11" t="s">
        <v>195</v>
      </c>
      <c r="F116" s="89">
        <f>F104+F105+F107+(F82)*F72</f>
        <v>638.32871811200005</v>
      </c>
      <c r="G116" s="10" t="s">
        <v>2</v>
      </c>
      <c r="H116" s="89">
        <f>H104+H105+H107+(H82)*F72</f>
        <v>85.713288100844466</v>
      </c>
      <c r="I116" s="10" t="s">
        <v>161</v>
      </c>
      <c r="J116" s="61"/>
    </row>
    <row r="118" spans="5:10">
      <c r="F118" s="4"/>
      <c r="H118" s="4"/>
    </row>
  </sheetData>
  <mergeCells count="1">
    <mergeCell ref="E87:E89"/>
  </mergeCells>
  <phoneticPr fontId="3" type="noConversion"/>
  <hyperlinks>
    <hyperlink ref="J47" r:id="rId1" display="https://ora.ox.ac.uk/objects/uuid:42019098-423f-4caf-ac57-e1da4d48fc54/files/me7fd56e1c4374ed3879b782fa6f10dab" xr:uid="{484E4DBE-9E3E-4768-ABED-0308CAFBC605}"/>
    <hyperlink ref="J42" r:id="rId2" display="https://ora.ox.ac.uk/objects/uuid:42019098-423f-4caf-ac57-e1da4d48fc54/files/me7fd56e1c4374ed3879b782fa6f10dab" xr:uid="{A0227000-47AE-4486-9F4B-C482B1E9B674}"/>
    <hyperlink ref="J33" r:id="rId3" display="https://ora.ox.ac.uk/objects/uuid:42019098-423f-4caf-ac57-e1da4d48fc54/files/me7fd56e1c4374ed3879b782fa6f10dab" xr:uid="{88416935-E4F0-4B3A-9611-2D07566149D8}"/>
    <hyperlink ref="J34" r:id="rId4" display="https://ora.ox.ac.uk/objects/uuid:42019098-423f-4caf-ac57-e1da4d48fc54/files/me7fd56e1c4374ed3879b782fa6f10dab" xr:uid="{2C5A4968-C33F-4EE6-827D-E8279A789250}"/>
    <hyperlink ref="J35" r:id="rId5" display="https://ora.ox.ac.uk/objects/uuid:42019098-423f-4caf-ac57-e1da4d48fc54/files/me7fd56e1c4374ed3879b782fa6f10dab" xr:uid="{9BB99775-95E2-4432-8A2B-0E01B385259A}"/>
    <hyperlink ref="J36" r:id="rId6" display="https://ora.ox.ac.uk/objects/uuid:42019098-423f-4caf-ac57-e1da4d48fc54/files/me7fd56e1c4374ed3879b782fa6f10dab" xr:uid="{89FB2D76-38C2-4583-8810-430307CEFE8F}"/>
    <hyperlink ref="J69" r:id="rId7" display="https://ora.ox.ac.uk/objects/uuid:42019098-423f-4caf-ac57-e1da4d48fc54/files/me7fd56e1c4374ed3879b782fa6f10dab" xr:uid="{2BBABDDC-67D7-497F-A5DF-0EEF512681D9}"/>
    <hyperlink ref="J43" r:id="rId8" display="https://www.revmaterialeplastice.ro/pdf/NEGOITA C 3 16.pdf" xr:uid="{74DDBFB3-041E-4477-B13D-44DA0FF3A1E5}"/>
    <hyperlink ref="J58" r:id="rId9" display="https://onlinelibrary.wiley.com/doi/epdf/10.1155/2020/5687951" xr:uid="{1D1D4368-1D2E-4447-8B2E-6E1E47BF831E}"/>
    <hyperlink ref="J51" r:id="rId10" display="https://www.drgaurav.org/uploads/1/3/4/1/134145812/article-rp15.pdf" xr:uid="{A0EB8F65-727D-4BA4-86A2-D920EA8ECE39}"/>
    <hyperlink ref="J76" r:id="rId11" xr:uid="{67F849BD-CF41-498C-BD77-66C34859B227}"/>
    <hyperlink ref="J3" r:id="rId12" xr:uid="{ED7EE394-DF34-4E6D-B4F7-D84107FAE144}"/>
    <hyperlink ref="J4" r:id="rId13" xr:uid="{507172B4-3B1D-46C0-9F13-8C21095BBEF9}"/>
    <hyperlink ref="J5" r:id="rId14" xr:uid="{C98EA5F8-CEB9-4E5E-85B9-32BAC2EA38FF}"/>
    <hyperlink ref="J6" r:id="rId15" xr:uid="{E1877653-7CD9-4190-9A0A-1D81449766B1}"/>
    <hyperlink ref="J7" r:id="rId16" xr:uid="{450E0F06-0785-44B8-8EFA-527CC1868CD8}"/>
    <hyperlink ref="J57" r:id="rId17" xr:uid="{1B107C17-102E-4AE0-AFCA-448CF13B77BA}"/>
    <hyperlink ref="J15" r:id="rId18" xr:uid="{5597FA48-942B-40B4-B662-2DF6896B3F85}"/>
    <hyperlink ref="J28" r:id="rId19" xr:uid="{35C1DF11-AD81-4C33-A103-6565915AFD68}"/>
    <hyperlink ref="J27" r:id="rId20" xr:uid="{60E689C7-CEDB-4E0B-8757-1A4DB78DDA69}"/>
    <hyperlink ref="J29" r:id="rId21" xr:uid="{382E37FD-2B65-4E22-B57D-58DCD89EBA5A}"/>
    <hyperlink ref="J19" r:id="rId22" display="https://www.researchgate.net/publication/325607069_Review_of_measures_for_improved_energy_efficiency_in_production-related_processes_in_the_aluminium_industry_-_From_electrolysis_to_recycling" xr:uid="{82910B79-B67F-485B-9F0A-1AF4617506BD}"/>
    <hyperlink ref="J18" r:id="rId23" display="https://www.sciencedirect.com/science/article/pii/S0924013617300109" xr:uid="{343FEBF4-F9B2-4C58-895A-A8A752944B70}"/>
    <hyperlink ref="J20" r:id="rId24" display="TIG welding paper" xr:uid="{1C440690-3ACD-404A-8A20-662E1DE440BC}"/>
    <hyperlink ref="J17" r:id="rId25" display="https://www.aluminum.org/sites/default/files/2022-08/102.1_Aluminum_Assocication_EPD_Extruded_Aluminum.pdf" xr:uid="{2614551B-638E-4D85-B7EF-503B09A1727E}"/>
    <hyperlink ref="J68" r:id="rId26" display="https://ora.ox.ac.uk/objects/uuid:42019098-423f-4caf-ac57-e1da4d48fc54/files/me7fd56e1c4374ed3879b782fa6f10dab" xr:uid="{73807F38-2F71-494A-BFBF-4B070565F3FA}"/>
    <hyperlink ref="K37" r:id="rId27" location="/?a=4669&amp;b=0&amp;c=Port%20of%20Tokyo,%20Japan&amp;d=Port%20of%20Osaka" display="http://ports.com/sea-route/port-of-matsuyama,japan/port-of-santos,brazil/ - /?a=4669&amp;b=0&amp;c=Port%20of%20Tokyo,%20Japan&amp;d=Port%20of%20Osaka" xr:uid="{03A2D602-2C65-4F05-9412-55383BF70EC8}"/>
    <hyperlink ref="K76" r:id="rId28" xr:uid="{90F1661E-9D52-42D5-8395-2C1FB634DEAE}"/>
    <hyperlink ref="J77" r:id="rId29" xr:uid="{13C5762D-15B5-40C3-9E93-957F95F7E5E6}"/>
    <hyperlink ref="K81" r:id="rId30" xr:uid="{5193061D-B171-4F57-B6AF-0E243C3A1780}"/>
    <hyperlink ref="K82" r:id="rId31" xr:uid="{0A5CC17E-91A3-420F-8DDD-6BD6B5AD5D93}"/>
    <hyperlink ref="K79" r:id="rId32" xr:uid="{0BD72B9A-E067-4D15-A770-4F67C799DB5E}"/>
    <hyperlink ref="L78" r:id="rId33" xr:uid="{D0EFF2C2-6F9B-4966-B946-233E4300EC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8699-FF6B-4002-9744-524A6A3592F4}">
  <dimension ref="B3:F9"/>
  <sheetViews>
    <sheetView workbookViewId="0">
      <selection activeCell="L22" sqref="L22"/>
    </sheetView>
  </sheetViews>
  <sheetFormatPr defaultRowHeight="15"/>
  <cols>
    <col min="2" max="2" width="18" bestFit="1" customWidth="1"/>
    <col min="3" max="3" width="6.7109375" bestFit="1" customWidth="1"/>
    <col min="4" max="4" width="5.5703125" bestFit="1" customWidth="1"/>
    <col min="5" max="5" width="5.7109375" bestFit="1" customWidth="1"/>
    <col min="6" max="6" width="9.140625" bestFit="1" customWidth="1"/>
  </cols>
  <sheetData>
    <row r="3" spans="2:6">
      <c r="B3" s="11" t="s">
        <v>181</v>
      </c>
      <c r="C3" s="10">
        <v>1.1100000000000001</v>
      </c>
      <c r="D3" s="10" t="s">
        <v>25</v>
      </c>
      <c r="E3" s="10">
        <v>0.14000000000000001</v>
      </c>
      <c r="F3" s="10" t="s">
        <v>221</v>
      </c>
    </row>
    <row r="4" spans="2:6">
      <c r="B4" s="11" t="s">
        <v>184</v>
      </c>
      <c r="C4" s="10">
        <v>34</v>
      </c>
      <c r="D4" s="10" t="s">
        <v>25</v>
      </c>
      <c r="E4" s="10">
        <v>3.12</v>
      </c>
      <c r="F4" s="10" t="s">
        <v>221</v>
      </c>
    </row>
    <row r="5" spans="2:6" ht="30">
      <c r="B5" s="11" t="s">
        <v>185</v>
      </c>
      <c r="C5" s="10">
        <v>-10.51</v>
      </c>
      <c r="D5" s="10" t="s">
        <v>25</v>
      </c>
      <c r="E5" s="10">
        <v>1.23</v>
      </c>
      <c r="F5" s="10" t="s">
        <v>221</v>
      </c>
    </row>
    <row r="6" spans="2:6">
      <c r="B6" s="11" t="s">
        <v>189</v>
      </c>
      <c r="C6" s="89">
        <v>2.0299999999999998</v>
      </c>
      <c r="D6" s="10" t="s">
        <v>25</v>
      </c>
      <c r="E6" s="89">
        <f>C6*0.07</f>
        <v>0.1421</v>
      </c>
      <c r="F6" s="10" t="s">
        <v>221</v>
      </c>
    </row>
    <row r="7" spans="2:6">
      <c r="B7" s="10" t="s">
        <v>192</v>
      </c>
      <c r="C7" s="89">
        <v>37.36</v>
      </c>
      <c r="D7" s="10" t="s">
        <v>25</v>
      </c>
      <c r="E7" s="89">
        <v>5.4</v>
      </c>
      <c r="F7" s="10" t="s">
        <v>221</v>
      </c>
    </row>
    <row r="8" spans="2:6">
      <c r="B8" s="11" t="s">
        <v>194</v>
      </c>
      <c r="C8" s="89">
        <v>10.25</v>
      </c>
      <c r="D8" s="10" t="s">
        <v>25</v>
      </c>
      <c r="E8" s="10">
        <v>1.56</v>
      </c>
      <c r="F8" s="10" t="s">
        <v>221</v>
      </c>
    </row>
    <row r="9" spans="2:6">
      <c r="B9" s="11" t="s">
        <v>195</v>
      </c>
      <c r="C9" s="89">
        <v>38.39</v>
      </c>
      <c r="D9" s="10" t="s">
        <v>25</v>
      </c>
      <c r="E9" s="89">
        <f>C9*0.07</f>
        <v>2.6873000000000005</v>
      </c>
      <c r="F9" s="10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C05E-A37B-4ADC-8A36-41065483B1D3}">
  <dimension ref="B3:H40"/>
  <sheetViews>
    <sheetView tabSelected="1" topLeftCell="D19" zoomScale="205" zoomScaleNormal="205" workbookViewId="0">
      <selection activeCell="U28" sqref="U28"/>
    </sheetView>
  </sheetViews>
  <sheetFormatPr defaultRowHeight="15"/>
  <cols>
    <col min="2" max="3" width="9.140625" customWidth="1"/>
    <col min="4" max="4" width="29.7109375" bestFit="1" customWidth="1"/>
    <col min="5" max="5" width="17.7109375" bestFit="1" customWidth="1"/>
    <col min="6" max="6" width="16" bestFit="1" customWidth="1"/>
    <col min="7" max="7" width="19.7109375" bestFit="1" customWidth="1"/>
    <col min="8" max="8" width="16" bestFit="1" customWidth="1"/>
  </cols>
  <sheetData>
    <row r="3" spans="2:8">
      <c r="E3" s="1"/>
    </row>
    <row r="4" spans="2:8">
      <c r="E4" s="1"/>
    </row>
    <row r="5" spans="2:8">
      <c r="E5" s="1"/>
    </row>
    <row r="6" spans="2:8" ht="15.75">
      <c r="B6" s="52" t="s">
        <v>222</v>
      </c>
      <c r="C6" s="52"/>
      <c r="E6" s="1"/>
    </row>
    <row r="7" spans="2:8" ht="15.75">
      <c r="D7" s="52" t="s">
        <v>223</v>
      </c>
      <c r="E7" s="52" t="s">
        <v>224</v>
      </c>
      <c r="F7" s="56" t="s">
        <v>225</v>
      </c>
      <c r="G7" s="53" t="s">
        <v>226</v>
      </c>
      <c r="H7" s="56" t="s">
        <v>225</v>
      </c>
    </row>
    <row r="8" spans="2:8">
      <c r="D8" t="s">
        <v>227</v>
      </c>
      <c r="E8">
        <v>408.73820000000001</v>
      </c>
      <c r="F8" s="57">
        <f>E8/E13*100</f>
        <v>50.137826270207199</v>
      </c>
      <c r="G8" s="17">
        <f>CF!F104</f>
        <v>550.9445280000001</v>
      </c>
      <c r="H8" s="57">
        <f>G8/G13*100</f>
        <v>88.48609013931717</v>
      </c>
    </row>
    <row r="9" spans="2:8">
      <c r="D9" t="s">
        <v>228</v>
      </c>
      <c r="E9">
        <v>298.79899999999998</v>
      </c>
      <c r="F9" s="57">
        <f>E9/E13*100</f>
        <v>36.652146414775132</v>
      </c>
      <c r="G9" s="17">
        <f>CF!F105</f>
        <v>49.884680000000003</v>
      </c>
      <c r="H9" s="57">
        <f>G9/G13*100</f>
        <v>8.0118779055211746</v>
      </c>
    </row>
    <row r="10" spans="2:8">
      <c r="D10" t="s">
        <v>229</v>
      </c>
      <c r="E10">
        <v>0</v>
      </c>
      <c r="F10" s="57">
        <f>E10/E13*100</f>
        <v>0</v>
      </c>
      <c r="G10" s="1">
        <v>0</v>
      </c>
      <c r="H10" s="57">
        <f>G10/G13*100</f>
        <v>0</v>
      </c>
    </row>
    <row r="11" spans="2:8">
      <c r="D11" t="s">
        <v>230</v>
      </c>
      <c r="E11">
        <v>88.8</v>
      </c>
      <c r="F11" s="57">
        <f>E11/E13*100</f>
        <v>10.892642216446614</v>
      </c>
      <c r="G11" s="17">
        <f>CF!F106</f>
        <v>15.017333333333333</v>
      </c>
      <c r="H11" s="57">
        <f>G11/G13*100</f>
        <v>2.411903637212466</v>
      </c>
    </row>
    <row r="12" spans="2:8" ht="15.75" thickBot="1">
      <c r="D12" s="5" t="s">
        <v>120</v>
      </c>
      <c r="E12" s="5">
        <v>18.891999999999999</v>
      </c>
      <c r="F12" s="58">
        <f>E12/E13*100</f>
        <v>2.3173850985710525</v>
      </c>
      <c r="G12" s="54">
        <f>CF!F107</f>
        <v>6.7875101119999997</v>
      </c>
      <c r="H12" s="58">
        <f>G12/G13*100</f>
        <v>1.090128317949205</v>
      </c>
    </row>
    <row r="13" spans="2:8" ht="15.75" thickTop="1">
      <c r="D13" t="s">
        <v>231</v>
      </c>
      <c r="E13" s="1">
        <f>SUM(E8:E12)</f>
        <v>815.22919999999999</v>
      </c>
      <c r="F13" s="59">
        <f>SUM(F8:F12)</f>
        <v>100</v>
      </c>
      <c r="G13" s="17">
        <f>SUM(G8:G12)</f>
        <v>622.6340514453334</v>
      </c>
      <c r="H13" s="59">
        <f>SUM(H8:H12)</f>
        <v>100.00000000000001</v>
      </c>
    </row>
    <row r="14" spans="2:8">
      <c r="F14" s="60"/>
      <c r="G14" s="1"/>
    </row>
    <row r="15" spans="2:8" ht="15.75">
      <c r="D15" s="52" t="s">
        <v>232</v>
      </c>
      <c r="E15" s="52" t="s">
        <v>224</v>
      </c>
      <c r="F15" s="56" t="s">
        <v>225</v>
      </c>
      <c r="G15" s="53" t="s">
        <v>226</v>
      </c>
      <c r="H15" s="56" t="s">
        <v>225</v>
      </c>
    </row>
    <row r="16" spans="2:8">
      <c r="D16" t="s">
        <v>227</v>
      </c>
      <c r="E16">
        <v>65.397999999999996</v>
      </c>
      <c r="F16" s="57">
        <f>E16/E21*100</f>
        <v>51.422820164023364</v>
      </c>
      <c r="G16" s="1">
        <v>74.290000000000006</v>
      </c>
      <c r="H16" s="57">
        <f>G16/G21*100</f>
        <v>87.035796033193378</v>
      </c>
    </row>
    <row r="17" spans="3:8">
      <c r="D17" t="s">
        <v>228</v>
      </c>
      <c r="E17">
        <v>53.780999999999999</v>
      </c>
      <c r="F17" s="57">
        <f>E17/E21*100</f>
        <v>42.28830684793634</v>
      </c>
      <c r="G17" s="17">
        <f>CF!H105</f>
        <v>8.4971092666666674</v>
      </c>
      <c r="H17" s="57">
        <f>G17/G21*100</f>
        <v>9.9549423745505106</v>
      </c>
    </row>
    <row r="18" spans="3:8">
      <c r="D18" t="s">
        <v>229</v>
      </c>
      <c r="E18">
        <v>0</v>
      </c>
      <c r="F18" s="57">
        <f>E18/E21*100</f>
        <v>0</v>
      </c>
      <c r="G18">
        <v>0</v>
      </c>
      <c r="H18" s="57">
        <f>G18/G21*100</f>
        <v>0</v>
      </c>
    </row>
    <row r="19" spans="3:8">
      <c r="D19" t="s">
        <v>230</v>
      </c>
      <c r="E19">
        <v>6.2160000000000002</v>
      </c>
      <c r="F19" s="57">
        <f>E19/E21*100</f>
        <v>4.8876762307649972</v>
      </c>
      <c r="G19" s="17">
        <f>CF!H106</f>
        <v>1.9278725925925928</v>
      </c>
      <c r="H19" s="57">
        <f>G19/G21*100</f>
        <v>2.2586340792417907</v>
      </c>
    </row>
    <row r="20" spans="3:8" ht="15.75" thickBot="1">
      <c r="D20" s="5" t="s">
        <v>120</v>
      </c>
      <c r="E20" s="5">
        <v>1.782</v>
      </c>
      <c r="F20" s="58">
        <f>E20/E21*100</f>
        <v>1.4011967572752935</v>
      </c>
      <c r="G20" s="54">
        <f>CF!H107</f>
        <v>0.64070325640000014</v>
      </c>
      <c r="H20" s="58">
        <f>G20/G21*100</f>
        <v>0.75062751301431163</v>
      </c>
    </row>
    <row r="21" spans="3:8" ht="15.75" thickTop="1">
      <c r="D21" t="s">
        <v>86</v>
      </c>
      <c r="E21" s="1">
        <f>SUM(E16:E20)</f>
        <v>127.17699999999999</v>
      </c>
      <c r="F21" s="59">
        <f>SUM(F16:F20)</f>
        <v>99.999999999999986</v>
      </c>
      <c r="G21" s="17">
        <f>SUM(G16:G20)</f>
        <v>85.35568511565927</v>
      </c>
      <c r="H21" s="59">
        <f>SUM(H16:H20)</f>
        <v>99.999999999999986</v>
      </c>
    </row>
    <row r="22" spans="3:8">
      <c r="E22" s="1"/>
    </row>
    <row r="23" spans="3:8">
      <c r="E23" s="1"/>
    </row>
    <row r="24" spans="3:8">
      <c r="E24" s="1"/>
    </row>
    <row r="25" spans="3:8">
      <c r="C25" s="150" t="s">
        <v>233</v>
      </c>
      <c r="D25" s="144" t="s">
        <v>234</v>
      </c>
      <c r="E25" s="149">
        <v>1.13E-8</v>
      </c>
      <c r="F25" s="148" t="s">
        <v>235</v>
      </c>
      <c r="G25" s="137"/>
      <c r="H25" s="137"/>
    </row>
    <row r="26" spans="3:8">
      <c r="C26" s="151"/>
      <c r="D26" t="s">
        <v>236</v>
      </c>
      <c r="E26" s="137" t="s">
        <v>237</v>
      </c>
      <c r="F26" s="145"/>
      <c r="G26" s="137"/>
      <c r="H26" s="137"/>
    </row>
    <row r="27" spans="3:8">
      <c r="C27" s="92" t="s">
        <v>238</v>
      </c>
      <c r="D27" s="141">
        <v>127.17699999999999</v>
      </c>
      <c r="E27" s="143">
        <v>85.35568511565927</v>
      </c>
      <c r="F27" s="146" t="s">
        <v>239</v>
      </c>
      <c r="G27" s="137"/>
      <c r="H27" s="137" t="s">
        <v>240</v>
      </c>
    </row>
    <row r="28" spans="3:8">
      <c r="C28" s="92" t="s">
        <v>233</v>
      </c>
      <c r="D28" s="142">
        <f>D27*$E$25</f>
        <v>1.4371000999999999E-6</v>
      </c>
      <c r="E28" s="142">
        <f>E27*$E$25</f>
        <v>9.6451924180694972E-7</v>
      </c>
      <c r="F28" s="147" t="s">
        <v>233</v>
      </c>
      <c r="G28" s="137"/>
      <c r="H28" s="137"/>
    </row>
    <row r="29" spans="3:8">
      <c r="D29" s="109"/>
      <c r="E29" s="109" t="s">
        <v>21</v>
      </c>
      <c r="F29" s="109">
        <v>464.2645</v>
      </c>
      <c r="G29" s="137"/>
      <c r="H29" s="137"/>
    </row>
    <row r="30" spans="3:8">
      <c r="D30" s="109"/>
      <c r="E30" s="109" t="s">
        <v>241</v>
      </c>
      <c r="F30" s="121">
        <f>G13</f>
        <v>622.6340514453334</v>
      </c>
      <c r="G30" s="137"/>
      <c r="H30" s="137"/>
    </row>
    <row r="31" spans="3:8">
      <c r="D31" s="109"/>
      <c r="E31" s="109"/>
      <c r="F31" s="109" t="s">
        <v>242</v>
      </c>
      <c r="G31" s="137"/>
      <c r="H31" s="137"/>
    </row>
    <row r="32" spans="3:8">
      <c r="D32" s="109"/>
      <c r="E32" s="109" t="s">
        <v>21</v>
      </c>
      <c r="F32" s="109">
        <v>102.60899999999999</v>
      </c>
      <c r="G32" s="137"/>
      <c r="H32" s="137"/>
    </row>
    <row r="33" spans="4:8">
      <c r="E33" s="109" t="s">
        <v>241</v>
      </c>
      <c r="F33" s="121">
        <f>G21</f>
        <v>85.35568511565927</v>
      </c>
      <c r="G33" s="137"/>
      <c r="H33" s="137"/>
    </row>
    <row r="34" spans="4:8">
      <c r="D34" s="137"/>
      <c r="E34" s="137"/>
      <c r="F34" s="137"/>
      <c r="G34" s="137"/>
      <c r="H34" s="137"/>
    </row>
    <row r="35" spans="4:8">
      <c r="D35" s="137"/>
      <c r="E35" s="137"/>
      <c r="F35" s="137"/>
      <c r="G35" s="137"/>
      <c r="H35" s="137"/>
    </row>
    <row r="36" spans="4:8">
      <c r="D36" s="137"/>
      <c r="E36" s="137"/>
      <c r="F36" s="137"/>
      <c r="G36" s="137"/>
      <c r="H36" s="137"/>
    </row>
    <row r="37" spans="4:8">
      <c r="D37" s="137"/>
      <c r="E37" s="137"/>
      <c r="F37" s="137"/>
      <c r="G37" s="137"/>
    </row>
    <row r="38" spans="4:8">
      <c r="D38" s="137"/>
      <c r="E38" s="137"/>
      <c r="F38" s="137"/>
      <c r="G38" s="137"/>
      <c r="H38" s="137"/>
    </row>
    <row r="39" spans="4:8">
      <c r="D39" s="137"/>
      <c r="E39" s="137"/>
      <c r="F39" s="137"/>
      <c r="G39" s="137"/>
      <c r="H39" s="137"/>
    </row>
    <row r="40" spans="4:8">
      <c r="D40" s="137"/>
      <c r="E40" s="137"/>
      <c r="F40" s="137"/>
      <c r="G40" s="137"/>
      <c r="H40" s="137"/>
    </row>
  </sheetData>
  <conditionalFormatting sqref="D7:H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H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887F-B82B-4B88-9CA4-24F3624577A4}">
  <dimension ref="A1:H25"/>
  <sheetViews>
    <sheetView topLeftCell="A25" workbookViewId="0">
      <selection activeCell="L42" sqref="L42"/>
    </sheetView>
  </sheetViews>
  <sheetFormatPr defaultRowHeight="15"/>
  <cols>
    <col min="2" max="2" width="13.42578125" customWidth="1"/>
  </cols>
  <sheetData>
    <row r="1" spans="1:2">
      <c r="A1" t="s">
        <v>243</v>
      </c>
    </row>
    <row r="2" spans="1:2">
      <c r="B2" t="s">
        <v>244</v>
      </c>
    </row>
    <row r="19" spans="2:8">
      <c r="B19" t="s">
        <v>245</v>
      </c>
    </row>
    <row r="25" spans="2:8">
      <c r="H25">
        <f>2.35*'Shipping Al'!J9*G8/1000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Aanandnataraj Satheesh Manimala</dc:creator>
  <cp:keywords/>
  <dc:description/>
  <cp:lastModifiedBy>Aanandnataraj Satheesh Manimala</cp:lastModifiedBy>
  <cp:revision/>
  <dcterms:created xsi:type="dcterms:W3CDTF">2024-10-27T15:52:59Z</dcterms:created>
  <dcterms:modified xsi:type="dcterms:W3CDTF">2024-12-17T16:35:54Z</dcterms:modified>
  <cp:category/>
  <cp:contentStatus/>
</cp:coreProperties>
</file>