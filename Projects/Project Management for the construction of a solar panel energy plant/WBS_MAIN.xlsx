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polimi365-my.sharepoint.com/personal/10727569_polimi_it/Documents/PROJECT MANAGEMENT/Project_Management_Assignment/"/>
    </mc:Choice>
  </mc:AlternateContent>
  <xr:revisionPtr revIDLastSave="2565" documentId="13_ncr:1_{C6828520-01A2-4CA8-9215-ABEBD4502111}" xr6:coauthVersionLast="47" xr6:coauthVersionMax="47" xr10:uidLastSave="{8C5F7C98-D80A-446C-829D-4D237F9F3CBF}"/>
  <bookViews>
    <workbookView xWindow="-108" yWindow="-108" windowWidth="23256" windowHeight="12456" firstSheet="2" activeTab="4" xr2:uid="{940736E5-D47D-440F-A62F-BEDB96806CDD}"/>
  </bookViews>
  <sheets>
    <sheet name="WBS" sheetId="1" r:id="rId1"/>
    <sheet name="WP Glossary" sheetId="12" r:id="rId2"/>
    <sheet name="To DO" sheetId="8" r:id="rId3"/>
    <sheet name="OBS" sheetId="3" r:id="rId4"/>
    <sheet name="RAM" sheetId="4" r:id="rId5"/>
    <sheet name="external resources" sheetId="5" r:id="rId6"/>
    <sheet name="indirect Costs" sheetId="6" r:id="rId7"/>
    <sheet name="Labor Costs" sheetId="7" r:id="rId8"/>
    <sheet name="Cost Estimation" sheetId="10" r:id="rId9"/>
  </sheets>
  <definedNames>
    <definedName name="_xlnm._FilterDatabase" localSheetId="0" hidden="1">WBS!$A$1:$F$154</definedName>
    <definedName name="E">'external resources'!$E:$E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5" l="1"/>
  <c r="E9" i="5"/>
  <c r="E10" i="5"/>
  <c r="E11" i="5"/>
  <c r="E12" i="5"/>
  <c r="E13" i="5"/>
  <c r="E14" i="5"/>
  <c r="E15" i="5"/>
  <c r="E16" i="5"/>
  <c r="E17" i="5"/>
  <c r="E18" i="5"/>
  <c r="E19" i="5"/>
  <c r="E20" i="5"/>
  <c r="E21" i="5"/>
  <c r="E22" i="5"/>
  <c r="E23" i="5"/>
  <c r="E24" i="5"/>
  <c r="E25" i="5"/>
  <c r="E26" i="5"/>
  <c r="E27" i="5"/>
  <c r="E28" i="5"/>
  <c r="E29" i="5"/>
  <c r="E30" i="5"/>
  <c r="E31" i="5"/>
  <c r="E35"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5" i="5"/>
  <c r="E14" i="1"/>
</calcChain>
</file>

<file path=xl/sharedStrings.xml><?xml version="1.0" encoding="utf-8"?>
<sst xmlns="http://schemas.openxmlformats.org/spreadsheetml/2006/main" count="1433" uniqueCount="740">
  <si>
    <t>Layer 1</t>
  </si>
  <si>
    <t>Layer 2</t>
  </si>
  <si>
    <t>Layer 3</t>
  </si>
  <si>
    <t>Layer 4</t>
  </si>
  <si>
    <t>Cost = equipment + work hours*fee</t>
  </si>
  <si>
    <t>Work Hours</t>
  </si>
  <si>
    <t xml:space="preserve">WBS by Processes/phases </t>
  </si>
  <si>
    <t>1.1.1 Topographical Survey Coordination</t>
  </si>
  <si>
    <t>80h</t>
  </si>
  <si>
    <t>1.1.2 Geotechnical Study Supervision</t>
  </si>
  <si>
    <t>160h</t>
  </si>
  <si>
    <t>1.1.3 Preliminary Solar Resource Analysis</t>
  </si>
  <si>
    <t>96h</t>
  </si>
  <si>
    <t>1.2.1 Environmental Impact Assessment Preparation</t>
  </si>
  <si>
    <t xml:space="preserve">1.2.2 Environmental Mitigation Action Planning </t>
  </si>
  <si>
    <t>64h</t>
  </si>
  <si>
    <t>420h</t>
  </si>
  <si>
    <t xml:space="preserve">     48h</t>
  </si>
  <si>
    <t>2.1 Civil Design</t>
  </si>
  <si>
    <t>72h</t>
  </si>
  <si>
    <t>90h</t>
  </si>
  <si>
    <t>60h</t>
  </si>
  <si>
    <t>48h</t>
  </si>
  <si>
    <t>2.1.4 Permits and Approvals</t>
  </si>
  <si>
    <t>24h</t>
  </si>
  <si>
    <t>2.2 Electrical Design</t>
  </si>
  <si>
    <t>120h</t>
  </si>
  <si>
    <t>2.2.3 SCADA Design</t>
  </si>
  <si>
    <t>2.2.4 Grid Interconnection Design</t>
  </si>
  <si>
    <t>144h</t>
  </si>
  <si>
    <t>2.2.5 Permits and Approvals</t>
  </si>
  <si>
    <t>3. Procurement</t>
  </si>
  <si>
    <t>3.2 Contracting</t>
  </si>
  <si>
    <t>3.3 Delivery Planning</t>
  </si>
  <si>
    <t xml:space="preserve">4.1 Groundwork </t>
  </si>
  <si>
    <t>4.1.1 Site Clearing</t>
  </si>
  <si>
    <t>55h</t>
  </si>
  <si>
    <t>105h</t>
  </si>
  <si>
    <t>180h</t>
  </si>
  <si>
    <t>200h</t>
  </si>
  <si>
    <t>4.2.2 Perimeter Fencing</t>
  </si>
  <si>
    <t>4.2.3 Temporary Buildings Construction</t>
  </si>
  <si>
    <t>5. Construction (Outsourced)</t>
  </si>
  <si>
    <t>5.1 Inverter Room</t>
  </si>
  <si>
    <t>-</t>
  </si>
  <si>
    <t>5.2 Maintenance Building</t>
  </si>
  <si>
    <t>6. Photovoltaic Panel Installation</t>
  </si>
  <si>
    <t>panels: 14.4M
mounts: 4M
delivery: included</t>
  </si>
  <si>
    <t>18.4M</t>
  </si>
  <si>
    <t xml:space="preserve">6.1.1 PV Batch 1 </t>
  </si>
  <si>
    <t>6.1.2 PV Batch 2</t>
  </si>
  <si>
    <t>32h</t>
  </si>
  <si>
    <t>6.1.3 PV Batch 3</t>
  </si>
  <si>
    <t>6.1.4 PV Batch 4</t>
  </si>
  <si>
    <t>6.1.5 PV Batch 5</t>
  </si>
  <si>
    <t>6.1.6 PV Batch 6</t>
  </si>
  <si>
    <t>6.1.7 PV Batch 7</t>
  </si>
  <si>
    <t>6.1.8 PV Batch 8</t>
  </si>
  <si>
    <t>6.2 PV panel installation</t>
  </si>
  <si>
    <t>10M</t>
  </si>
  <si>
    <t>44000h</t>
  </si>
  <si>
    <t>5500h</t>
  </si>
  <si>
    <t>560h</t>
  </si>
  <si>
    <t>480h</t>
  </si>
  <si>
    <t>256h</t>
  </si>
  <si>
    <t xml:space="preserve">7.2 Inverters </t>
  </si>
  <si>
    <t>7.2.1 Inverter Procurement Contract Finalization</t>
  </si>
  <si>
    <t>128h</t>
  </si>
  <si>
    <t>7.2.2 Inverter mounting and positioning</t>
  </si>
  <si>
    <t>192h</t>
  </si>
  <si>
    <t>7.2.3 DC connection to inverters and Connect inverters to AC distribution</t>
  </si>
  <si>
    <t>7.2.4 Verify inverter input &amp; output testing</t>
  </si>
  <si>
    <t>7.3 Substation</t>
  </si>
  <si>
    <t>384h</t>
  </si>
  <si>
    <t>112h</t>
  </si>
  <si>
    <t>7.3.10 Relay Installation and Configuration</t>
  </si>
  <si>
    <t>240h</t>
  </si>
  <si>
    <t xml:space="preserve"> </t>
  </si>
  <si>
    <t>8.2 Performance Testing</t>
  </si>
  <si>
    <t xml:space="preserve"> 1 month</t>
  </si>
  <si>
    <t>16h</t>
  </si>
  <si>
    <t>104h</t>
  </si>
  <si>
    <t>1 month</t>
  </si>
  <si>
    <t>WP Code</t>
  </si>
  <si>
    <t>Task Name</t>
  </si>
  <si>
    <t>Description</t>
  </si>
  <si>
    <t>Method of Measuring Status</t>
  </si>
  <si>
    <t>Preliminary analysis</t>
  </si>
  <si>
    <t>1.1</t>
  </si>
  <si>
    <t>Site feasibility study and survey</t>
  </si>
  <si>
    <t>1.1.1</t>
  </si>
  <si>
    <t>Topographical Survey Coordination</t>
  </si>
  <si>
    <t>Organize and coordinate surveying contractors on-site.
Review raw GPS and total-station data for consistency.
Ensure alignment with the project’s control points and benchmarks.
Compile and validate the final topographic digital terrain model (DTM).</t>
  </si>
  <si>
    <t>1.1.2</t>
  </si>
  <si>
    <t>Geotechnical Study Supervision</t>
  </si>
  <si>
    <t>1.1.3</t>
  </si>
  <si>
    <t>Preliminary Solar Resource Analysis</t>
  </si>
  <si>
    <t>1.2</t>
  </si>
  <si>
    <t>Environmental impact Assessment</t>
  </si>
  <si>
    <t>1.2.2</t>
  </si>
  <si>
    <t xml:space="preserve"> Environmental Impact Assessment Preparation</t>
  </si>
  <si>
    <t>1.2.3</t>
  </si>
  <si>
    <t xml:space="preserve"> Environmental Mitigation Action Planning</t>
  </si>
  <si>
    <t>1.3</t>
  </si>
  <si>
    <t>Initial layout design</t>
  </si>
  <si>
    <t>Produce a preliminary CAD layout showing module arrays, access roads and setbacks.
Integrate existing site constraints: topography, drainage lines, buffer zones.
Overlay basic one-line electrical diagrams for string inverters and combiner boxes.
Coordinate with energy engineers to ensure thermal and shading analyses inputs.</t>
  </si>
  <si>
    <t>1.4</t>
  </si>
  <si>
    <t>Permitting &amp; approvals</t>
  </si>
  <si>
    <t>Engineering and Design</t>
  </si>
  <si>
    <t>2.1</t>
  </si>
  <si>
    <t>Civil Design</t>
  </si>
  <si>
    <t>2.1.1</t>
  </si>
  <si>
    <t>Site Layout &amp; Zoning</t>
  </si>
  <si>
    <t>2.1.1.1</t>
  </si>
  <si>
    <t xml:space="preserve"> Preliminary Layout &amp; Constraints Map</t>
  </si>
  <si>
    <t>Identifying the optimal placement of solar arrays, access roads, inverter stations, and other key infrastructure. The layout takes into account topographical, environmental, legal, and technical constraints (e.g., shading, protected zones, slope, land use limits, buffer zones from roads or water bodies).</t>
  </si>
  <si>
    <t>2.1.1.2</t>
  </si>
  <si>
    <t>Final Layout, Optimization &amp; Report</t>
  </si>
  <si>
    <t xml:space="preserve">This activity involves refining the preliminary layout based on updated constraints, engineering feedback, stakeholder inputs, and performance simulations. The goal is to generate the final optimized layout of the photovoltaic plant, maximizing energy yield and minimizing costs and shading losses, while ensuring compliance with all environmental, technical, and regulatory constraints. </t>
  </si>
  <si>
    <t>2.1.2</t>
  </si>
  <si>
    <t>Site Grading &amp; Drainage Design</t>
  </si>
  <si>
    <t>2.1.2.1</t>
  </si>
  <si>
    <t>Grading Analysis &amp; Cut-Fill Balancing</t>
  </si>
  <si>
    <t>This activity involves analyzing the existing terrain elevation and topography to design the necessary earthworks for the photovoltaic plant site. The goal is to create a balanced cut-and-fill plan where the volume of soil excavated (cut) is approximately equal to the volume of soil needed to fill (fill) other areas, minimizing the need for importing or exporting soil.</t>
  </si>
  <si>
    <t>2.1.2.2</t>
  </si>
  <si>
    <t>Drainage Layout &amp; Hydraulic Calculation</t>
  </si>
  <si>
    <t>This task involves designing the drainage system for the photovoltaic plant site to ensure effective management of surface water and prevent flooding or erosion. The design includes layout of drainage channels, culverts, and stormwater management structures based on hydraulic calculations.</t>
  </si>
  <si>
    <t>2.1.3</t>
  </si>
  <si>
    <t>Road &amp; Access Design</t>
  </si>
  <si>
    <t>Develop internal road alignments; geometric design (curves, gradients); specify pavement layers; design entrances/parking/turning radii; integrate drainage features; produce detailed CAD drawings and specs for tendering.</t>
  </si>
  <si>
    <t>2.1.4</t>
  </si>
  <si>
    <t>Permits and Approvals</t>
  </si>
  <si>
    <t>Compile civil permit submissions with site layouts, grading, and drainage; prepare environmental and traffic impact documents; coordinate zoning and land-use approvals; liaise with authorities for external upgrades; track review cycles and maintain permit documentation.</t>
  </si>
  <si>
    <t>0-100</t>
  </si>
  <si>
    <t>2.1.5</t>
  </si>
  <si>
    <t>Bill of quantities preparation</t>
  </si>
  <si>
    <t>Calculate earthwork volumes (cut/fill); quantify pavement materials; list ancillary concrete and erosion control items; include signage and safety barriers; cross-check quantities with construction methods and waste.</t>
  </si>
  <si>
    <t>2.2</t>
  </si>
  <si>
    <t>Electrical Design</t>
  </si>
  <si>
    <t>2.2.1</t>
  </si>
  <si>
    <t>Electrical Layout &amp; Schematics</t>
  </si>
  <si>
    <t>2.2.1.1</t>
  </si>
  <si>
    <t>DC/AC Layout &amp; Inverter Cabling and Design</t>
  </si>
  <si>
    <t>This activity involves the detailed design of the electrical layout for both the direct current (DC) and alternating current (AC) systems within the photovoltaic plant. It includes planning the routing and sizing of cables from PV modules to inverters (DC side) and from inverters to the grid connection point (AC side). The design ensures optimal cable lengths, minimal voltage drop, proper segregation, and compliance with electrical standards and safety regulations. It also covers inverter cabling configurations, protection device placement, and coordination with other electrical systems for efficient and reliable power transmission.</t>
  </si>
  <si>
    <t>2.2.1.2</t>
  </si>
  <si>
    <t>MV Layout, Protection &amp; Schematic</t>
  </si>
  <si>
    <t>This task involves the design and detailing of the Medium Voltage (MV) electrical system within the photovoltaic plant. It includes planning the layout of MV equipment such as switchgears, transformers, protection devices, and the preparation of comprehensive electrical schematics.</t>
  </si>
  <si>
    <t>2.2.2</t>
  </si>
  <si>
    <t>Grounding &amp; Lightning Protection Design</t>
  </si>
  <si>
    <t>Design of the grounding system and lightning protection infrastructure in accordance with CEI standards. This includes calculating the dimensions and layout of the grounding mesh, sizing and positioning of grounding rods, and selecting appropriate surge arrestors to protect electrical equipment from transient overvoltages caused by lightning strikes or switching events. The design ensures effective dissipation of fault currents, minimizes step and touch voltages, and enhances the overall safety and reliability of the photovoltaic plant’s electrical system.</t>
  </si>
  <si>
    <t>2.2.3</t>
  </si>
  <si>
    <t>SCADA Design</t>
  </si>
  <si>
    <t>2.2.3.1</t>
  </si>
  <si>
    <t>SCADA System Architecture &amp; Signal Design</t>
  </si>
  <si>
    <t>This activity involves the design of the Supervisory Control and Data Acquisition (SCADA) system architecture for the photovoltaic plant. It includes planning the communication network, signal types, data acquisition points, control logic, and integration with plant equipment such as inverters, weather stations, and transformers.</t>
  </si>
  <si>
    <t>2.2.3.2</t>
  </si>
  <si>
    <t>Functional Spec &amp; Documentation</t>
  </si>
  <si>
    <t>This activity involves preparing detailed functional specifications and comprehensive documentation for the SCADA system of the photovoltaic plant. The functional specifications define the system requirements, operational workflows, control sequences, alarm handling, and data reporting needs.</t>
  </si>
  <si>
    <t>2.2.4</t>
  </si>
  <si>
    <t>Grid Interconnection Design</t>
  </si>
  <si>
    <t xml:space="preserve">Develop detailed single‐line diagrams showing the MV/LV substation layout, including bus arrangements, switchgear positions, and cable routing. Specify transformer ratings, protection schemes, metering points, and earthing arrangements to meet utility requirements. Coordinate protective relay settings and SCADA communication interfaces for seamless integration with the grid control center. Ensure compliance with local grid codes, voltage regulation limits, and reactive power compensation standards. </t>
  </si>
  <si>
    <t>2.2.5</t>
  </si>
  <si>
    <t xml:space="preserve">Assemble the complete electrical permit package. Coordinate third‐party reviews and address utility queries by providing supplementary analyses or design clarifications. Track submission milestones, manage revisions, and liaise with regulatory bodies until formal approval is obtained. 
</t>
  </si>
  <si>
    <t>2.2.6</t>
  </si>
  <si>
    <t xml:space="preserve">Itemize every electrical component required for construction, including panels, inverters, transformers, cables, conduits, and accessories. Calculate quantities based on drawing take‐offs and design specifications, ensuring correct lengths, sizes, and material grades. Include ancillary items such as cable trays, junction boxes, cable glands, and grounding hardware in appropriate measures. Cross‐verify counts with procurement and construction teams to align on installation methods and waste allowances.
</t>
  </si>
  <si>
    <t>Procurement</t>
  </si>
  <si>
    <t>3.1</t>
  </si>
  <si>
    <t>Vendor qualification</t>
  </si>
  <si>
    <t xml:space="preserve">3.1.1 </t>
  </si>
  <si>
    <t>Vendor Screening &amp; Pre-qualification</t>
  </si>
  <si>
    <t xml:space="preserve">This activity involves the initial evaluation and assessment of potential suppliers or contractors to determine their suitability for a project. It includes reviewing their technical capabilities, financial stability, past performance, certifications, compliance with regulations, and quality standards. </t>
  </si>
  <si>
    <t>3.1.2</t>
  </si>
  <si>
    <t>Technical Evaluation &amp; Shortlisting</t>
  </si>
  <si>
    <t xml:space="preserve">This process involves a detailed assessment of the technical proposals and capabilities of vendors who passed the pre-qualification stage. The evaluation focuses on their ability to meet technical specifications, project requirements, and quality standards. </t>
  </si>
  <si>
    <t>3.2</t>
  </si>
  <si>
    <t>Contracting</t>
  </si>
  <si>
    <t>3.2.1</t>
  </si>
  <si>
    <t>Subcontractor Scouting &amp; Negotiation</t>
  </si>
  <si>
    <t xml:space="preserve">This activity involves identifying, evaluating, and selecting potential subcontractors who can perform specific portions of the project work. It includes scouting for qualified subcontractors, assessing their experience and capacity, and negotiating terms, prices, and contracts to ensure favorable conditions for the project. </t>
  </si>
  <si>
    <t>3.2.2</t>
  </si>
  <si>
    <t>Contract Finalization &amp; Legal Review</t>
  </si>
  <si>
    <t xml:space="preserve">This phase involves the preparation, negotiation, and formal approval of the final contract documents with vendors or subcontractors. It includes a thorough legal review to ensure compliance with applicable laws, regulations, and company policies, as well as to mitigate risks and protect the interests of the project. </t>
  </si>
  <si>
    <t>3.3</t>
  </si>
  <si>
    <t>Delivery Planning</t>
  </si>
  <si>
    <t>The Delivery Planning Phase focuses on organizing the logistics and coordination required to deliver all materials, equipment, and resources to the construction site. It includes site preparation, coordination with contractors, scheduling, and managing the movement of goods and services to ensure the smooth flow of operations. The goal is to ensure that everything required for the project's construction phase arrives on time and in the correct quantity.</t>
  </si>
  <si>
    <t>Site Preparation &amp; Infrastructure</t>
  </si>
  <si>
    <t>4.1</t>
  </si>
  <si>
    <t>Groundwork</t>
  </si>
  <si>
    <t>4.1.1</t>
  </si>
  <si>
    <t>Site Clearing</t>
  </si>
  <si>
    <t>Clearing of 78.5 hectares of vegetation using a single FAE SSH/HP shredder, which operates at 1–1.5 hectares per day. The objective is to prepare the site for construction and panel installation.
The task includes zoning, mechanical shredding, debris removal or mulching, and final inspection. It is carried out by the Vegetation Team (Site Civil Team) under the supervision of the Environmental Compliance Officer.</t>
  </si>
  <si>
    <t>4.1.2</t>
  </si>
  <si>
    <t>Site Excavation &amp; Grading</t>
  </si>
  <si>
    <t>This task consists in carring out excavation using a mid-sized excavator to prepare foundation areas for four prefabricated buildings. The activity includes topsoil removal, excavation to 0.5 m depth, leveling, and material disposal. It is carried out by an excavation team (Site Civil Team).</t>
  </si>
  <si>
    <t>4.1.3</t>
  </si>
  <si>
    <t>Drainage systems installation</t>
  </si>
  <si>
    <t>4.1.3.1</t>
  </si>
  <si>
    <t xml:space="preserve">Excavation of the main canal </t>
  </si>
  <si>
    <t>The main drainage channel will be excavated along the lower section of the site to collect and convey surface runoff from all secondary channels across the 78-hectare area. A medium-sized excavator will be used to complete this task.</t>
  </si>
  <si>
    <t>4.1.3.2</t>
  </si>
  <si>
    <t>Excavation of the secondary canal Excavator 1</t>
  </si>
  <si>
    <t>Secondary open drainage channels will be excavated between every two rows of solar panels on the north side of the photovoltaic plant. These channels will direct runoff toward the main drainage channel. One medium-sized excavator will operate for about 60 hours to complete the work. The trapezoidal cross-section design ensures efficient flow and cost-effective construction.</t>
  </si>
  <si>
    <t>4.1.3.3</t>
  </si>
  <si>
    <t>Excavation of the secondary canal Excavator 2</t>
  </si>
  <si>
    <t xml:space="preserve">On the south side of the plant, additional secondary channels will be excavated to mirror those on the north side, ensuring balanced and complete surface water collection. A second medium-sized excavator will be assigned for 60 hours of work. As with the other sections, channels will follow a trapezoidal profile to maintain hydraulic performance and manage excavation costs. </t>
  </si>
  <si>
    <t>4.2</t>
  </si>
  <si>
    <t>Site Access &amp; Utilities</t>
  </si>
  <si>
    <t>4.2.1</t>
  </si>
  <si>
    <t>Access road construction</t>
  </si>
  <si>
    <t>4.2.1.1</t>
  </si>
  <si>
    <t>Road north-south</t>
  </si>
  <si>
    <t>This work package involves the construction of a 1-kilometer-long gravel road running in the north-south direction across the photovoltaic plant site. The objective is to ensure reliable and safe access for construction and maintenance vehicles throughout the vertical axis of the site. The Site Civil Team will be responsible for clearing and grading the path, preparing the base layer, and applying and compacting the gravel to form a durable road surface. The road will be 4 meters wide and constructed with proper drainage considerations to support long-term use on agricultural terrain while minimizing landscape disruption.</t>
  </si>
  <si>
    <t>4.2.1.2</t>
  </si>
  <si>
    <t>Road west-east</t>
  </si>
  <si>
    <t>This work package includes the construction of a second gravel road, 1 kilometer in length, running east-west across the site. Like the north-south road, it will be 4 meters wide and constructed using compacted gravel over a prepared base to ensure durability and effective water drainage. The Site Civil Team will carry out the grading, base preparation, and gravel application. This road will intersect with the north-south road to form a continuous internal access route, enabling complete coverage of the site for installation and future maintenance operations.</t>
  </si>
  <si>
    <t>4.2.2</t>
  </si>
  <si>
    <t>Perimeter Fencing</t>
  </si>
  <si>
    <t>4.2.2.1</t>
  </si>
  <si>
    <t>North side</t>
  </si>
  <si>
    <t>This work package covers the installation of perimeter fencing along the north side of the photovoltaic plant. The Site Civil Team will be responsible for preparing the ground, setting fence posts, and securing the fencing material to create a continuous and secure barrier. The fencing will provide safety, security, and protection against unauthorized access, while defining the project boundary clearly.</t>
  </si>
  <si>
    <t>4.2.2.2</t>
  </si>
  <si>
    <t>East side</t>
  </si>
  <si>
    <t>This package involves erecting the perimeter fence along the east side of the site. The Site Civil Team will carry out all necessary groundwork, post installation, and fence attachment. The fence will serve as a security measure and will be designed to withstand local environmental conditions, ensuring long-term durability and protection.</t>
  </si>
  <si>
    <t>4.2.2.3</t>
  </si>
  <si>
    <t>West side</t>
  </si>
  <si>
    <t>The west side fencing work package includes preparing the terrain, positioning posts, and fixing the fencing material to enclose the site securely. The Site Civil Team is responsible for executing this work with precision to maintain site integrity and safety throughout the project’s duration.</t>
  </si>
  <si>
    <t>4.2.2.4</t>
  </si>
  <si>
    <t>South side</t>
  </si>
  <si>
    <t>This package entails constructing the perimeter fencing on the south side of the photovoltaic plant. The Site Civil Team will complete all preparatory work and install the fence along the full length of the southern boundary. The fence will form a key part of the overall security system, controlling access and protecting the installation.</t>
  </si>
  <si>
    <t>4.2.3</t>
  </si>
  <si>
    <t>Temporary Buildings Construction</t>
  </si>
  <si>
    <t>4.2.3.1</t>
  </si>
  <si>
    <t>(prefabricated) Site office installation</t>
  </si>
  <si>
    <t>This work package involves the delivery and installation of the prefabricated site office at the photovoltaic plant. The Site Civil Team will be responsible for preparing the foundation area, ensuring a level and stable base for the structure. Once the foundation is ready, the team will oversee the placement, anchoring, and connection of the prefabricated office unit. The office will serve as the main administrative and coordination hub during construction.</t>
  </si>
  <si>
    <t>0/100 ( Short task for which is just important if it hasn't started yet or if it is already finished)</t>
  </si>
  <si>
    <t>4.2.3.2</t>
  </si>
  <si>
    <t xml:space="preserve">Site office utilities installation </t>
  </si>
  <si>
    <t>The Site Civil Team will install all necessary utilities for the prefabricated site office, including electrical power, water supply, and sewage connections. This work includes trenching, laying pipes and cables, and connecting the office to the main utility lines. Proper testing and commissioning will ensure the office is fully operational and meets health and safety standards.</t>
  </si>
  <si>
    <t>50/50 (For this task it is difficult to quantify the progress, we set 50% of compleatition if elecricity and water is connected to the building)</t>
  </si>
  <si>
    <t>4.2.3.3</t>
  </si>
  <si>
    <t>(prefabricated) Workers rest area installation</t>
  </si>
  <si>
    <t>The Site Civil Team will prepare the foundation and site for the prefabricated workers’ rest area, ensuring a stable and level base. After site preparation, the team will manage the delivery, placement, and secure anchoring of the prefabricated structure. The rest area will provide a safe, comfortable space for workers to take breaks and will include basic utilities such as seating and shelter from weather conditions.</t>
  </si>
  <si>
    <t>4.2.3.4</t>
  </si>
  <si>
    <t xml:space="preserve">Rest area utilities installation </t>
  </si>
  <si>
    <t>The Site Civil Team will install essential utilities for the workers’ rest area, including electrical connections, water supply, and sanitation facilities. This involves trenching, laying pipes and cables, and connecting to the main site utility networks. Final testing will ensure all systems are fully functional and meet safety and comfort requirements.</t>
  </si>
  <si>
    <t>4.2.3.5</t>
  </si>
  <si>
    <t>Portable toilets installation</t>
  </si>
  <si>
    <t>The Site Civil Team will select appropriate locations and install portable toilets across the construction site. The work includes site preparation, securing the units, and ensuring easy access for workers. Regular maintenance and servicing arrangements will also be planned to maintain hygiene standards throughout the project duration.</t>
  </si>
  <si>
    <t>Construction(Outsourced)</t>
  </si>
  <si>
    <t>5.1</t>
  </si>
  <si>
    <t>Inverter Room</t>
  </si>
  <si>
    <t>Installation of the prefabricated inverter rooms, includes mounting and securing the buildings on the concrete foundations, installing the interior equipment such as racks, ventilation, fire safety and wiring panels. 13 inverter rooms are installed in total, each containing one inverter.
The work is done by the construction subcontractors and rthe cost includes the total cost of material and labor for all 13 rooms.</t>
  </si>
  <si>
    <t>blackboxed</t>
  </si>
  <si>
    <t>5.2</t>
  </si>
  <si>
    <t>Installation of the maintenance building, perchased prefabricated. The building is 250 m2 and includes operations and control room and storage room. Task includes installation of the building on the foundation, securing the building, interior equipment such as monitoring and control equipment, storage compartments, fire safety systems, electrical wiring and network connections.</t>
  </si>
  <si>
    <t>5.3</t>
  </si>
  <si>
    <t>Installation of the prefabricated security office at the entrance of the plant. Includes placement and securing of the room, internal equipment such as monitoring systems, gate control system, electrical wiring and network connections.</t>
  </si>
  <si>
    <t>Photovoltaic Panel Installation</t>
  </si>
  <si>
    <t>6.1</t>
  </si>
  <si>
    <t>PV Panel and Mount Procurement</t>
  </si>
  <si>
    <r>
      <t>Includes contract finalization and ordering of the photovoltaic panels and the installation frames, includes the total cost of equipment and delivery. The delivery method is a just-in-time plan for batches of 10000 panels and maounts.</t>
    </r>
    <r>
      <rPr>
        <sz val="11"/>
        <color rgb="FFFF0000"/>
        <rFont val="Aptos Narrow"/>
        <family val="2"/>
        <scheme val="minor"/>
      </rPr>
      <t xml:space="preserve"> </t>
    </r>
  </si>
  <si>
    <t>Progress was evaluated 0/100 for each batch upon delivery.</t>
  </si>
  <si>
    <t>6.2</t>
  </si>
  <si>
    <t>PV Panel Installation</t>
  </si>
  <si>
    <t>Includes instalaltion of the frame poles in to the ground, assembly of the frames, instalaltion of the panels on the frames, and connecting the panels to the plant grid.</t>
  </si>
  <si>
    <t>Progress was evaluated at milestones of 10000 panels installed.</t>
  </si>
  <si>
    <t>Electrical &amp; Wiring Systems</t>
  </si>
  <si>
    <t>7.1</t>
  </si>
  <si>
    <t>Cable and wiring</t>
  </si>
  <si>
    <t>7.1.1</t>
  </si>
  <si>
    <t>DC Cable Installation Between Arrays</t>
  </si>
  <si>
    <t>Plan and mark the underground or tray cable routes, ensuring proper depth and clearances. Lay, secure, and protect DC cables from module strings to combiner boxes or inverters. Execute trenching or tray installation, following safety distances from other utilities. Fix cables with clamps or ties per project standards and maintain minimum bend radii. Perform insulation-resistance and continuity tests after installation. Document as-built cable routes with photos and coordinates.</t>
  </si>
  <si>
    <t>Units Completed ( meters of cable installed vs. total)</t>
  </si>
  <si>
    <t>7.1.2</t>
  </si>
  <si>
    <t>AC Collection System Cable Installation</t>
  </si>
  <si>
    <t>Design the AC cabling layout from the inverter outputs to the MV/LV switchgear. Install trenches or trays for AC cables, providing mechanical protection where required. Route, secure, and space cables properly, adhering to minimum bend radii and separation rules. Install conduits and seals at building penetrations to maintain weatherproofing. Test insulation resistance and phase-to-phase continuity before energization. Update as-built drawings with routing details and cable identifiers.</t>
  </si>
  <si>
    <t>Units Completed ( meters of MV cable installed)</t>
  </si>
  <si>
    <t>7.1.3</t>
  </si>
  <si>
    <t>Strip, prepare, and crimp lugs or heat-shrink ends on all DC and AC cable terminations. Label each cable per the project’s coding scheme (string number, phase, circuit). Perform megger insulation-resistance tests and low-resistance continuity checks. Record test readings against project tolerances and applicable standards. Compile and issue certification reports for each cable run for handover. Archive test logs, photos, and instrumentation calibration certificates.</t>
  </si>
  <si>
    <t>7.2</t>
  </si>
  <si>
    <t>Inverters</t>
  </si>
  <si>
    <t>7.2.1</t>
  </si>
  <si>
    <t>Inverter Procurement Contract Finalization</t>
  </si>
  <si>
    <t xml:space="preserve"> Issue RFQs to approved suppliers and compare quotations for price, warranty, and lead times. Negotiate contract clauses: delivery schedule, FAT/SAT requirements, and penalties. Verify compliance with IEC/EN standards and site-specific environmental conditions. Place purchase orders and follow up on manufacturing and shipping schedules. Maintain a procurement tracker with key dates and contact points.</t>
  </si>
  <si>
    <t>7.2.2</t>
  </si>
  <si>
    <t>Inverter Mounting and Positioning</t>
  </si>
  <si>
    <t xml:space="preserve">Receive, inspect, and store inverter units on site upon delivery.
Use cranes or forklifts to lift and accurately position inverters onto foundations. Level and align each unit with laser or spirit levels, verifying bolt hole alignment.Secure inverters with specified torque settings on anchor bolts. Ensure adequate clearance for ventilation and maintenance access. Inspect for any shipping damage and log issues for warranty claims.
</t>
  </si>
  <si>
    <t>7.2.3</t>
  </si>
  <si>
    <t>DC Connection to Inverters and Connect Inverters to AC Distribution</t>
  </si>
  <si>
    <t xml:space="preserve">Connect DC cables from module combiner boxes to inverter DC input terminals, observing polarity. Install DC disconnect switches and fuses at inverter inputs. Wire the inverter AC outputs to the MV/LV switchgear, including protection and metering devices. Torque all cable terminations to manufacturer’s specifications. Perform insulation and polarity checks before energizing the inverter. Update single-line diagrams and tag all connections in the as-built documentation. </t>
  </si>
  <si>
    <t>7.2.4</t>
  </si>
  <si>
    <t>Verify Inverter Input &amp; Output Testing</t>
  </si>
  <si>
    <t>Prepare test procedures covering DC insulation, polarity, and no-load AC operation. Simulate string inputs and monitor Maximum Power Point Tracking (MPPT) performance. Verify inverter response to grid variations and remote SCADA commands. Record electrical parameters (voltage, current, frequency, power factor) under load. Document test results in FAT/SAT reports, noting any deviations and corrective actions. Coordinate with OEM representatives to resolve anomalies before final sign-off.</t>
  </si>
  <si>
    <t>7.3</t>
  </si>
  <si>
    <t>Substation</t>
  </si>
  <si>
    <t>7.3.1</t>
  </si>
  <si>
    <t>Transformer Procurement</t>
  </si>
  <si>
    <t xml:space="preserve"> Solicit and compare bids from multiple vendors, evaluating price, lead time, and warranty. Include factory testing requirements (impedance, ratio, dielectric) in purchase contract. Finalize purchase orders, specifying delivery terms, packing, and handling instructions. Monitor production progress and coordinate logistics with the site team. Maintain a delivery schedule and update the project’s procurement tracker.</t>
  </si>
  <si>
    <t>7.3.2</t>
  </si>
  <si>
    <t>Transformer Pad Preparation and Installation</t>
  </si>
  <si>
    <t>Prepare reinforced concrete pads per engineering specifications. Install anchor bolts and embeds, ensuring correct layout and elevation. Pour concrete, monitor temperature and curing, and remove formwork at the proper time. Verify pad levelness and dimensions with precision surveying tools. Apply corrosion protection to anchor plates and exposed reinforcement. Record pad casting details, including concrete tests and as-built measurements.</t>
  </si>
  <si>
    <t>7.3.3</t>
  </si>
  <si>
    <t>Transformer Connections and Wiring</t>
  </si>
  <si>
    <t>Route high-voltage and low-voltage cables to transformer bushings, maintaining separation rules. Terminate cables with stress cones or kits per manufacturer guidance. Connect grounding conductors to transformer frames and station ground grid. Install link bars, fuses, and change-over switches in the transformer terminal enclosures. Perform ratio, polarity, and insulation tests on transformer windings. Update wiring schematics and attach photos to the commissioning dossier.</t>
  </si>
  <si>
    <t>7.3.4</t>
  </si>
  <si>
    <t>Transformer Testing and Commissioning</t>
  </si>
  <si>
    <t>Develop a commissioning plan covering routine and type tests (impedance, no-load losses). Perform insulation resistance and turns-ratio tests per IEEE/IEC standards. Conduct load-loss and temperature-rise tests if required by contract. Verify protective relay coordination and transformer alarm threshold settings. Compile test data into a commissioning report for client acceptance. Log any remedial actions and obtain sign-off from the electrical engineering lead.</t>
  </si>
  <si>
    <t>Units Completed ( of transformers tested)</t>
  </si>
  <si>
    <t>7.3.5</t>
  </si>
  <si>
    <t>Switchgear procurement</t>
  </si>
  <si>
    <t>Issue tender documents and evaluate vendor proposals on cost, quality, and delivery. Negotiate terms for FAT, warranty, and spare parts provisioning. Oversee factory assembly and witness FAT where feasible.
Manage delivery logistics to ensure timely site arrival. Supervise on-site assembly, anchoring, and alignment of switchgear cubicles.</t>
  </si>
  <si>
    <t>7.3.6</t>
  </si>
  <si>
    <t>Assembly and mounting of switchgears</t>
  </si>
  <si>
    <t xml:space="preserve"> Installation of medium voltage switchgear panels and LV panels, including positioning, anchoring</t>
  </si>
  <si>
    <t>7.3.7</t>
  </si>
  <si>
    <t>Busbar installation and connections</t>
  </si>
  <si>
    <t>Install insulated busbar supports and spacers in the switchgear building.
Fit busbar runs, ensuring correct clearances and expansion joints. Connect busbars to transformers, switchgear, and protection devices with bolted joints. Apply torque settings as per manufacturer’s instructions and use anti-oxidant grease. Perform DC and AC withstand tests to verify integrity.
Document busbar layouts, joint details, and test certificates in as-built files.</t>
  </si>
  <si>
    <t>7.3.8</t>
  </si>
  <si>
    <t>Relays panels procurement</t>
  </si>
  <si>
    <t>Issue requests for quotations to approved relay panel manufacturers
Evaluate bids based on technical specifications warranty terms and lead times. Negotiate pricing delivery schedules and factory acceptance testing requirements. Finalize purchase order including packaging handling and spare parts list. Maintain procurement log with key milestones and supplier contact details.</t>
  </si>
  <si>
    <t>7.3.9</t>
  </si>
  <si>
    <t>Mounting relay panel control cabinets and wiring</t>
  </si>
  <si>
    <t>Position relay panel cabinets on prepared foundations or mounting frames aligned to layout marks. Secure cabinets using anchor bolts or brackets torqued to specified values. Route control and power cables into cabinets through designated cable glands and trays. Terminate conductors on relays terminal blocks and busbars following wiring diagrams and polarity markings. Install wire ducting and label each circuit identifier on ducts and cable ties.</t>
  </si>
  <si>
    <t>Units Completed ( % of panels mounted and wired)</t>
  </si>
  <si>
    <t>7.3.10</t>
  </si>
  <si>
    <t>Protection Relay Installation and configuration</t>
  </si>
  <si>
    <t>Mount digital protection relays in designated switchgear cubicles.
Wire CTs, VTs, and control cables to each relay according to the wiring diagram. Configure relay settings (overcurrent, earth-fault, differential) per coordination study. Test relay logic, trip coils, and communications links to SCADA/DCS. Calibrate pickup values and verify time-current characteristics. Generate a protection test report and integrate settings into the master database.</t>
  </si>
  <si>
    <t>7.3.11</t>
  </si>
  <si>
    <t>Grounding Grid Installation</t>
  </si>
  <si>
    <t>Install a copper grounding mesh across the site connecting to ground rods driven at calculated intervals.
Bond the mesh to substation structures and major equipment using exothermic welds or compression clamps</t>
  </si>
  <si>
    <t>7.4</t>
  </si>
  <si>
    <t>Protection and monitoring</t>
  </si>
  <si>
    <t>7.4.1</t>
  </si>
  <si>
    <t xml:space="preserve"> DC and AC Surge Protection Installation</t>
  </si>
  <si>
    <t>Installation of surge protection devices on both DC and AC circuits at critical points throughout the plant to safeguard electrical equipment from voltage spikes and transient surges caused by switching operations or lightning strikes. This includes selecting appropriate surge arresters, coordinating with existing protection schemes, and ensuring compliance with relevant standards.</t>
  </si>
  <si>
    <t>Units Completed (% of SPDs installed)</t>
  </si>
  <si>
    <t>7.4.2</t>
  </si>
  <si>
    <t>Lightning Protection System Installation</t>
  </si>
  <si>
    <t>Installation of a comprehensive lightning protection system, including lightning rods, down conductors, and their integration with the plant’s grounding network to safely dissipate lightning strikes.</t>
  </si>
  <si>
    <t>7.4.3</t>
  </si>
  <si>
    <t>SCADA System Configuration</t>
  </si>
  <si>
    <t>Comprehensive setup and integration of Supervisory Control and Data Acquisition (SCADA) systems, including hardware installation and software programming, to enable real-time monitoring, control, and automation of the plant’s operations. This process involves configuring communication protocols, establishing data acquisition points, setting up alarms and event logging, and creating user-friendly interfaces for operators. The system ensures continuous data flow from field devices to central control rooms, facilitating efficient plant management, fault detection, and performance optimization.</t>
  </si>
  <si>
    <t>7.4.4</t>
  </si>
  <si>
    <t>Weather Station Installation</t>
  </si>
  <si>
    <t>Installation of a meteorological weather station with sensors to continuously monitor environmental conditions such as wind speed, temperature, humidity, and solar irradiance to support performance analysis and operational decision-making.</t>
  </si>
  <si>
    <t>7.4.5</t>
  </si>
  <si>
    <t>Inverter Monitoring Setup</t>
  </si>
  <si>
    <t>Installation and configuration of specialized monitoring hardware and software designed to continuously track the performance and operational status of inverters within the plant. This includes integrating sensors and communication modules that collect data such as voltage, current, temperature, and efficiency metrics in real time. The system enables early detection of faults or deviations, supports predictive maintenance, and allows operators to optimize inverter performance remotely through dashboards and alert notifications, ensuring maximum uptime and energy production.</t>
  </si>
  <si>
    <t>Units Completed ( % of inverters integrated into SCADA)</t>
  </si>
  <si>
    <t>7.4.6</t>
  </si>
  <si>
    <t>DC and AC Insulation Testing</t>
  </si>
  <si>
    <t>Development of detailed testing plans and specifications for insulation resistance verification of all DC and AC circuits during pre-commissioning. This includes defining test procedures, voltage levels, acceptance criteria, and documentation requirements to ensure electrical insulation integrity. The design ensures that insulation testing aligns with relevant standards and supports safe and reliable operation, guiding contractors on how to perform these tests during commissioning.</t>
  </si>
  <si>
    <t>Units Completed ( % of circuits tested)</t>
  </si>
  <si>
    <t>Testing &amp; Commissioning</t>
  </si>
  <si>
    <t>Grid Testing &amp; Synchronization</t>
  </si>
  <si>
    <t>8.1.1</t>
  </si>
  <si>
    <t>Perform relay protection testing</t>
  </si>
  <si>
    <t>This work package includes the planning and execution of comprehensive relay protection system tests aimed at verifying proper coordination, sensitivity, and selectivity of protective relays within the substation and grid connection points. This includes the simulation of various fault conditions—such as short circuits and overloads—to validate the correct operation of trip functions and ensure timely fault isolation. The Testing and Commissioning Team ensure the protection system reliably safeguards equipment, minimizes downtime, and complies with industry standards.</t>
  </si>
  <si>
    <t>8.1.2</t>
  </si>
  <si>
    <t>Conduct load flow analysis</t>
  </si>
  <si>
    <t>This work package includes detailed simulation and analysis of power flow throughout the solar plant and its interface with the electrical grid to evaluate voltage profiles, power losses, and transformer loading under different operating conditions. The study helps identify potential bottlenecks, optimize system performance, and verify compliance with grid codes and safety regulations. The Testing and Commissioning Team use the results guiding design adjustments to ensure stable, efficient, and safe operation during normal and contingency scenarios.</t>
  </si>
  <si>
    <t>Performance Testing</t>
  </si>
  <si>
    <t>8.2.1</t>
  </si>
  <si>
    <t>Conduct performance ratio tests</t>
  </si>
  <si>
    <t>This work package includes measurement and analysis of the plant’s actual energy output compared to the theoretical energy generation based on environmental conditions such as solar irradiance and ambient temperature. Conducted by the Testing and Commissioning Team, this assessment determines the overall efficiency and operational effectiveness of the photovoltaic system, identifying any performance losses due to shading, soiling, or equipment inefficiencies.</t>
  </si>
  <si>
    <t>8.2.2</t>
  </si>
  <si>
    <t>Check thermal imaging of panels</t>
  </si>
  <si>
    <t>This work package includes the inspection of photovoltaic modules and electrical connections using infrared thermography to detect thermal anomalies such as hot spots, defective cells, or loose connectors. Carried out by the Testing and Commissioning Team, this non-invasive diagnostic method helps identify potential failure points early, ensuring panel integrity and preventing long-term damage or energy loss.</t>
  </si>
  <si>
    <t>Units Completed (Number of arrays inspected)</t>
  </si>
  <si>
    <t>8.2.3</t>
  </si>
  <si>
    <t>Measure short-circuit current</t>
  </si>
  <si>
    <t>This work package includes validation of the short-circuit current in each PV string to verify correct system installation and to confirm that inverter protection and operational settings align with the actual electrical characteristics of the array. Performed by the Testing and Commissioning Team, accurate current measurements ensure system safety and optimal inverter performance.</t>
  </si>
  <si>
    <t>Grid &amp; Final Approvals</t>
  </si>
  <si>
    <t>8.3.1</t>
  </si>
  <si>
    <t>Perform initial grid injection test</t>
  </si>
  <si>
    <t>This work package includes the controlled synchronization and injection of power from the photovoltaic system into the electrical grid to verify compliance with applicable grid codes and standards. Executed by the Testing and Commissioning Team, this test monitors key parameters such as voltage stability, frequency regulation, harmonics, and power quality to ensure safe and reliable interconnection.</t>
  </si>
  <si>
    <t>0/100</t>
  </si>
  <si>
    <t>8.3.2</t>
  </si>
  <si>
    <t>Finalize acceptance testing</t>
  </si>
  <si>
    <t>This work package includes the execution and completion of a full suite of acceptance tests covering all major system components—including PV arrays, inverters, transformers, and SCADA systems. Conducted by the Testing and Commissioning Team, these tests confirm that the system meets design specifications and performance criteria, ensuring readiness for commercial operation.</t>
  </si>
  <si>
    <t>8.3.3</t>
  </si>
  <si>
    <t>Submit commissioning reports</t>
  </si>
  <si>
    <t>This work package includes the preparation and delivery of comprehensive commissioning reports that summarize all testing procedures, results, certifications, and overall plant performance. Produced by the Testing and Commissioning Team, these reports are provided to stakeholders as formal documentation of project completion and system readiness.</t>
  </si>
  <si>
    <t>8.3.4</t>
  </si>
  <si>
    <t>Obtain regulatory approval</t>
  </si>
  <si>
    <t>This work package includes the preparation, compilation, and submission of all necessary technical documentation, test results, and certifications to relevant energy authorities and grid operators. Managed by the Testing and Commissioning Team, this step secures final operational permits and ensures compliance with regulatory frameworks.</t>
  </si>
  <si>
    <t>ToDo</t>
  </si>
  <si>
    <t>Electrical &amp; Wiring Systems (7) costs and work hours finalize in wbs</t>
  </si>
  <si>
    <t>Kevin and MA</t>
  </si>
  <si>
    <t>Finalize the project file and send</t>
  </si>
  <si>
    <t>Pouria</t>
  </si>
  <si>
    <t xml:space="preserve">Double Check wbs wh (convert from duration by looking at allocated resources in ms proj resource shhet and gantt chart) </t>
  </si>
  <si>
    <t>All (saw some mistakes in everyone's phases, phases 7 and 8 not done yet)</t>
  </si>
  <si>
    <t>Double check wbs description wp codes and names with WBS MAIN</t>
  </si>
  <si>
    <t xml:space="preserve">all </t>
  </si>
  <si>
    <t>Double Check wp codes, names  with RAM</t>
  </si>
  <si>
    <t>review and describe the Progress evaluation methods</t>
  </si>
  <si>
    <t>all</t>
  </si>
  <si>
    <t>unify wbs description (refer to golden block, include any relevant info about the task, anything that needs to be done has to be indicated. if not indicated, it wont be done)</t>
  </si>
  <si>
    <t>Cost breakdown table for all wp, not too much detail, can apply one method to multiple wp</t>
  </si>
  <si>
    <t>all :(</t>
  </si>
  <si>
    <t>update RAM team names</t>
  </si>
  <si>
    <t>Alessandro G</t>
  </si>
  <si>
    <t>external resources</t>
  </si>
  <si>
    <t>labor costs</t>
  </si>
  <si>
    <t>project charter finalization</t>
  </si>
  <si>
    <t>Pouria (all review)</t>
  </si>
  <si>
    <t>risk management</t>
  </si>
  <si>
    <t>cash flow</t>
  </si>
  <si>
    <t>double check all with benchmarks</t>
  </si>
  <si>
    <t>report</t>
  </si>
  <si>
    <t>Department</t>
  </si>
  <si>
    <t>Team</t>
  </si>
  <si>
    <t>Unit</t>
  </si>
  <si>
    <t>Project Management Office (PMO)</t>
  </si>
  <si>
    <t>Surveying department</t>
  </si>
  <si>
    <t>Geotechnical Team</t>
  </si>
  <si>
    <t>Topographical Surveying Team</t>
  </si>
  <si>
    <t>Environmental Compliance Team</t>
  </si>
  <si>
    <t>Engineering department</t>
  </si>
  <si>
    <t>Electrical Engineering Team</t>
  </si>
  <si>
    <t>Electrical Engineering Unit</t>
  </si>
  <si>
    <t>Automation and SCADA Engineering Unit</t>
  </si>
  <si>
    <t>Power System Engineering Unit</t>
  </si>
  <si>
    <t>Civil Engineering Team</t>
  </si>
  <si>
    <t>Energy Engineering Team</t>
  </si>
  <si>
    <t>Legal Office department</t>
  </si>
  <si>
    <t>Legal &amp; Permitting Office</t>
  </si>
  <si>
    <t>Procurement department</t>
  </si>
  <si>
    <t>Procurement Team</t>
  </si>
  <si>
    <t>Logistics Team</t>
  </si>
  <si>
    <t>Operations department</t>
  </si>
  <si>
    <t xml:space="preserve"> Electrical Installation Team</t>
  </si>
  <si>
    <t>PV Installation Unit</t>
  </si>
  <si>
    <t>Electrical Installation Unit</t>
  </si>
  <si>
    <t>Site Civil Team</t>
  </si>
  <si>
    <t>Testing and Commissioning department</t>
  </si>
  <si>
    <t>Testing and Commissioning Team</t>
  </si>
  <si>
    <t>Resource Names</t>
  </si>
  <si>
    <t>Civil Engineering Team;Electrical Engineering Unit;Energy Engineering Team</t>
  </si>
  <si>
    <t>Legal &amp; Permitting Team</t>
  </si>
  <si>
    <t>Civil Engineering Team;Energy Engineering Team</t>
  </si>
  <si>
    <t>Electrical Engineering Unit;Power System Engineering Unit</t>
  </si>
  <si>
    <t>Site Civil Team; Topographical Surveying Team</t>
  </si>
  <si>
    <t>Site Civil Team;Topographical Surveying Team</t>
  </si>
  <si>
    <t>Outsourced</t>
  </si>
  <si>
    <t>Logistics Team;Procurement Team</t>
  </si>
  <si>
    <t>Logistics Team;Procurement Team;Environmental Compliance Team</t>
  </si>
  <si>
    <t>Testing and Commissioning Team;Legal &amp; Permitting Team</t>
  </si>
  <si>
    <t>External Costs</t>
  </si>
  <si>
    <t xml:space="preserve">Cost Voice </t>
  </si>
  <si>
    <t>Item</t>
  </si>
  <si>
    <t>Unit Cost</t>
  </si>
  <si>
    <t>Quantity</t>
  </si>
  <si>
    <t>Total Cost</t>
  </si>
  <si>
    <t>Transformer</t>
  </si>
  <si>
    <t>3.15 MVA Transformer</t>
  </si>
  <si>
    <t>PV Panels</t>
  </si>
  <si>
    <t>550Wp PV Panels</t>
  </si>
  <si>
    <t>0,36 €/w</t>
  </si>
  <si>
    <t>40MW</t>
  </si>
  <si>
    <t>PV Panel Mounts</t>
  </si>
  <si>
    <t>0,1 €/w</t>
  </si>
  <si>
    <t xml:space="preserve">Vegetation removal </t>
  </si>
  <si>
    <t xml:space="preserve">FAE Group - SSH/HP </t>
  </si>
  <si>
    <t>Excavation</t>
  </si>
  <si>
    <t>Medium-size excavator</t>
  </si>
  <si>
    <t>120 €/h</t>
  </si>
  <si>
    <t>175h</t>
  </si>
  <si>
    <t>Road foundation</t>
  </si>
  <si>
    <t xml:space="preserve">Mixed laying + supplying </t>
  </si>
  <si>
    <t>42 €/m2</t>
  </si>
  <si>
    <t>1600 m2</t>
  </si>
  <si>
    <t>Fencing</t>
  </si>
  <si>
    <t>Fence + Delivery</t>
  </si>
  <si>
    <t>21.33 €/m</t>
  </si>
  <si>
    <t>Prefabricated house</t>
  </si>
  <si>
    <t>Office+ Rest Area</t>
  </si>
  <si>
    <t>Portable Toilet</t>
  </si>
  <si>
    <t>Toilets</t>
  </si>
  <si>
    <t>50€/m</t>
  </si>
  <si>
    <t>Indirect Costs</t>
  </si>
  <si>
    <t>(our reference)</t>
  </si>
  <si>
    <t>Cost</t>
  </si>
  <si>
    <t>PM Office</t>
  </si>
  <si>
    <t>IFC Report = 6% total cost</t>
  </si>
  <si>
    <t>Software Licenses</t>
  </si>
  <si>
    <t>HSE</t>
  </si>
  <si>
    <t>Training</t>
  </si>
  <si>
    <t>Security</t>
  </si>
  <si>
    <t>Contingency</t>
  </si>
  <si>
    <t>7% of total direct+indirect cost</t>
  </si>
  <si>
    <t>Labor Costs</t>
  </si>
  <si>
    <t>Office/Team</t>
  </si>
  <si>
    <t>Member</t>
  </si>
  <si>
    <t>No.</t>
  </si>
  <si>
    <t>€/Hour</t>
  </si>
  <si>
    <t>Engineering</t>
  </si>
  <si>
    <t>Senior Electrical Engineer</t>
  </si>
  <si>
    <t>Electracal CAD Technician</t>
  </si>
  <si>
    <t>Junior Electrical Engineer</t>
  </si>
  <si>
    <t>Senior Automation Engineer</t>
  </si>
  <si>
    <t>SCADA System Designer</t>
  </si>
  <si>
    <t>Senior Power System Engineer</t>
  </si>
  <si>
    <t>Mid-level Power System Engineer</t>
  </si>
  <si>
    <t>Senior Civil Engineer</t>
  </si>
  <si>
    <t>Civil CAD Technician</t>
  </si>
  <si>
    <t>Senior Energy Engineer</t>
  </si>
  <si>
    <t>Legal Office</t>
  </si>
  <si>
    <t>Law Office</t>
  </si>
  <si>
    <t>procurement specialist</t>
  </si>
  <si>
    <t>technical specialist</t>
  </si>
  <si>
    <t>Logistics Coordinator</t>
  </si>
  <si>
    <t>Delivery Planner</t>
  </si>
  <si>
    <t>warehouse officer</t>
  </si>
  <si>
    <t>PV Installation Worker</t>
  </si>
  <si>
    <t>Electrical Installation Supervisor</t>
  </si>
  <si>
    <t>Electrical Installation Technician</t>
  </si>
  <si>
    <t>Site Construction Worker</t>
  </si>
  <si>
    <t>Test Technician</t>
  </si>
  <si>
    <t>SCADA &amp; Controls Engineer</t>
  </si>
  <si>
    <t>Surveyor</t>
  </si>
  <si>
    <t>Senior geotechnical engineer</t>
  </si>
  <si>
    <t>Drilling supervisor</t>
  </si>
  <si>
    <t>Environmental scientists (EIA specialists)</t>
  </si>
  <si>
    <t>Description of the cost estimation</t>
  </si>
  <si>
    <t>6.1.1</t>
  </si>
  <si>
    <t xml:space="preserve">PV Batch 1 </t>
  </si>
  <si>
    <t>6.1.2</t>
  </si>
  <si>
    <t>PV Batch 2</t>
  </si>
  <si>
    <t>6.1.3</t>
  </si>
  <si>
    <t>PV Batch 3</t>
  </si>
  <si>
    <t>6.1.4</t>
  </si>
  <si>
    <t>PV Batch 4</t>
  </si>
  <si>
    <t>6.1.5</t>
  </si>
  <si>
    <t>PV Batch 5</t>
  </si>
  <si>
    <t>6.1.6</t>
  </si>
  <si>
    <t>PV Batch 6</t>
  </si>
  <si>
    <t>6.1.7</t>
  </si>
  <si>
    <t>PV Batch 7</t>
  </si>
  <si>
    <t>6.1.8</t>
  </si>
  <si>
    <t xml:space="preserve"> PV Batch 8</t>
  </si>
  <si>
    <t>6.2.1</t>
  </si>
  <si>
    <t>PV panel installation batch 1</t>
  </si>
  <si>
    <t>6.2.2</t>
  </si>
  <si>
    <t>PV panel installation batch 2</t>
  </si>
  <si>
    <t>6.2.3</t>
  </si>
  <si>
    <t>PV panel installation batch 3</t>
  </si>
  <si>
    <t>6.2.4</t>
  </si>
  <si>
    <t>PV panel installation batch 4</t>
  </si>
  <si>
    <t>6.2.5</t>
  </si>
  <si>
    <t>PV panel installation batch 5</t>
  </si>
  <si>
    <t>6.2.6</t>
  </si>
  <si>
    <t>PV panel installation batch 6</t>
  </si>
  <si>
    <t>6.2.7</t>
  </si>
  <si>
    <t>PV panel installation batch 7</t>
  </si>
  <si>
    <t>6.2.8</t>
  </si>
  <si>
    <t>PV panel installation batch 8</t>
  </si>
  <si>
    <t xml:space="preserve">1. Preliminary Analysis </t>
  </si>
  <si>
    <t>1.1 Site Feasibility Study And Survey</t>
  </si>
  <si>
    <t>1.2  Environmental Impact Assessment</t>
  </si>
  <si>
    <t>1.3 Initial Layout Design</t>
  </si>
  <si>
    <t>1.4 Permitting And Approvals</t>
  </si>
  <si>
    <t>2. Engineering And Design</t>
  </si>
  <si>
    <t>2.1.1 Site Layout And Zoning</t>
  </si>
  <si>
    <t>2.1.1.1 Preliminary Layout And Constraints Map</t>
  </si>
  <si>
    <t>2.1.1.2 Final Layout, Optimization And Report</t>
  </si>
  <si>
    <t>2.1.2 Site Grading And Drainage Design</t>
  </si>
  <si>
    <t>2.1.2.1 Grading Analysis And Cut-Fill Balancing</t>
  </si>
  <si>
    <t>2.1.2.2 Drainage Layout And Hydraulic Calculation</t>
  </si>
  <si>
    <t>2.1.3 Road And Access Design</t>
  </si>
  <si>
    <t>2.1.5 Bill of Quantities Preparation</t>
  </si>
  <si>
    <t>2.2.1.1 DC/AC Layout and Inverter Cabling and Design</t>
  </si>
  <si>
    <t>2.2.1.2 MV Layout, Protection and Schematic</t>
  </si>
  <si>
    <t>2.2.2 Grounding and Lightning Protection Design</t>
  </si>
  <si>
    <t>3.1 Vendor Qualification</t>
  </si>
  <si>
    <t>3.1.1 Vendor Screening and Pre-Qualification</t>
  </si>
  <si>
    <t>3.1.2 Technical Evaluation and Shortlisting</t>
  </si>
  <si>
    <t>3.2.1 Subcontractor Scouting and Negotiation</t>
  </si>
  <si>
    <t>3.2.2 Contract Finalization and Legal Review</t>
  </si>
  <si>
    <t xml:space="preserve">Security Office </t>
  </si>
  <si>
    <t>Maintenance Building</t>
  </si>
  <si>
    <t>Cable Termination, Testing, and Certification</t>
  </si>
  <si>
    <t>8.1</t>
  </si>
  <si>
    <t>8.3</t>
  </si>
  <si>
    <t>8.2</t>
  </si>
  <si>
    <t>Column1</t>
  </si>
  <si>
    <t>2.2.1 Electrical Layout and Schematics</t>
  </si>
  <si>
    <t>2.2.3.1 SCADA System Architecture and Signal Design</t>
  </si>
  <si>
    <t>2.2.3.2 Functional Spec and Documentation</t>
  </si>
  <si>
    <t>2.2.6 Bill of Quantities Preparation</t>
  </si>
  <si>
    <t>4. Site Preparation and Infrastructure</t>
  </si>
  <si>
    <t>4.1.2 Site Excavation and Grading</t>
  </si>
  <si>
    <t>4.1.3 Drainage Systems Installation</t>
  </si>
  <si>
    <t>4.1.3.1 Excavation of the Main Canal</t>
  </si>
  <si>
    <t>4.1.3.2 Excavation of the Secondary Canal Excavator 1</t>
  </si>
  <si>
    <t>4.1.3.3 Excavation of the Secondary Canal Excavator 2</t>
  </si>
  <si>
    <t>4.2 Site Access and Utilities</t>
  </si>
  <si>
    <t>4.2.1 Access Road Construction</t>
  </si>
  <si>
    <t>4.2.1.1 Road Nort-South</t>
  </si>
  <si>
    <t>4.2.1.2 Road West-East</t>
  </si>
  <si>
    <t>4.2.2.1 North Side</t>
  </si>
  <si>
    <t>4.2.2.2 East Side</t>
  </si>
  <si>
    <t>4.2.2.3 West Side</t>
  </si>
  <si>
    <t>4.2.2.4 South Side</t>
  </si>
  <si>
    <t>4.2.3.1 Site Office Installation</t>
  </si>
  <si>
    <t>4.2.3.2 Site Office Utilities Installation</t>
  </si>
  <si>
    <t>4.2.3.3 Workers Rest Area Installation</t>
  </si>
  <si>
    <t xml:space="preserve">4.2.3.4 Rest Area Utilities Installation </t>
  </si>
  <si>
    <t>4.2.3.5 Portable Toilets Installation</t>
  </si>
  <si>
    <t>5.3 Security Office</t>
  </si>
  <si>
    <t>6.1 PV Panel and Mount Procurement</t>
  </si>
  <si>
    <t>6.2.1 PV Panel Installation Batch 1</t>
  </si>
  <si>
    <t>6.2.2 PV Panel Installation Batch 2</t>
  </si>
  <si>
    <t>6.2.3 PV Panel Installation Batch 3</t>
  </si>
  <si>
    <t>6.2.4 PV Panel Installation Batch 4</t>
  </si>
  <si>
    <t>6.2.5 PV Panel Installation Batch 5</t>
  </si>
  <si>
    <t>6.2.6 PV Panel Installation Batch 6</t>
  </si>
  <si>
    <t>6.2.7 PV Panel Installation Batch 7</t>
  </si>
  <si>
    <t>6.2.8 PV Panel Installation Batch 8</t>
  </si>
  <si>
    <t>7. Electrical and Wiring Systems</t>
  </si>
  <si>
    <t>7.1 Cable and Wiring</t>
  </si>
  <si>
    <t xml:space="preserve"> 7.1.1  DC Cable Installation Between Arrays</t>
  </si>
  <si>
    <t xml:space="preserve"> 7.1.2 AC Collection System Cable Installation</t>
  </si>
  <si>
    <t>7.1.3 Cable Termination, Testing and Certification</t>
  </si>
  <si>
    <t>7.3.1 Transformer Procurement</t>
  </si>
  <si>
    <t>7.3.2 Transformer Pad Preparation and Installation</t>
  </si>
  <si>
    <t>7.3.3 Transformer Connections and Wiring</t>
  </si>
  <si>
    <t xml:space="preserve">7.3.4 Transformer Testing and Commissioning </t>
  </si>
  <si>
    <t>7.3.5 Switchgear Procurement</t>
  </si>
  <si>
    <t>7.3.6 Assembly and Mounting of Switchgears</t>
  </si>
  <si>
    <t>7.3.7 Busbar Installation and Connections</t>
  </si>
  <si>
    <t>7.3.8 Relay Panels Procurement</t>
  </si>
  <si>
    <t>7.3.9 Mounting Relay Panel Control Cabinets and Wiring</t>
  </si>
  <si>
    <t>7.3.11 Grounding Grid Installation</t>
  </si>
  <si>
    <t>7.4 Protection and Monitoring</t>
  </si>
  <si>
    <t>7.4.1 DC and AC Surge Protection Installation</t>
  </si>
  <si>
    <t>7.4.2 Lightning Protection System Installation</t>
  </si>
  <si>
    <t>7.4.3 SCADA System Configuration</t>
  </si>
  <si>
    <t>7.4.4 Weather Station Installation</t>
  </si>
  <si>
    <t xml:space="preserve">7.4.5 Inverter Monitoring System Setup </t>
  </si>
  <si>
    <t xml:space="preserve">7.4.6 DC and AC Insulation Testing </t>
  </si>
  <si>
    <t>8. Testing and Commissioning</t>
  </si>
  <si>
    <t>8.1 Grid Testing and Synchronization</t>
  </si>
  <si>
    <t>8.1.1 Perform Relay Protection Testing</t>
  </si>
  <si>
    <t>8.1.2 Conduct Load Flow Analysis</t>
  </si>
  <si>
    <t>8.2.1 Conduct Performance Ratio Tests</t>
  </si>
  <si>
    <t>8.2.2 Check Thermal Imaging of Panels</t>
  </si>
  <si>
    <t>8.2.3 Measure Short-Circuit Current</t>
  </si>
  <si>
    <t>8.3 Grid and Final Approvals</t>
  </si>
  <si>
    <t>8.3.1 Perform Initial Grid Injection Test</t>
  </si>
  <si>
    <t>8.3.2 Finalize Acceptance Testing</t>
  </si>
  <si>
    <t>8.3.3 Submit Commissioning Reports</t>
  </si>
  <si>
    <t>8.3.4 Obtain Regulatory Approval</t>
  </si>
  <si>
    <t>The building's slab-on-grade foundation (0,5 m in depth): inverter room (300m²),  maintenance building (100 m2) , security  office (50m2)  give a total excavation of 275 m3 of terrain. The cost has been estimated using a mid size excavator with productivity 20 m3/h and a cost of 120 €/h plus the salary of 3 site civil workers for the 24h duration of this task.</t>
  </si>
  <si>
    <t xml:space="preserve">The main canal has a cross section of 1mx1m and  length 1000m, for a total of 1000m3 of excavation. Using the same middle size excavator of task 4.1.2 plus the salary of 3 site civil worker we estimated this cost.  </t>
  </si>
  <si>
    <t>Secondary canals have a cross section of 50cmx20cm and length 400m. It has been decided to create a secondary drainage canal every 2 rows of panels, so the number of secondary canals in the north area are 58. We have a total of 2320 m3 of excavaton. Using the same excavator as task 4.1.2 and 3 site civil workers salary for the duration of this task  have been used to we estimated this cost.</t>
  </si>
  <si>
    <t>This cost have been estimated using  "Prezzario regionale dei lavori pubblici" in particular the voice cost  "Esecuzione di fondazione stradale mediante fornitura e posa in opera di materiali misti granulari vagliati 42,7€/m3". We consider a road from north to south with length 1000 m, width 4 m and depth 0.2m. The total  cost is the of the road, plus the salary of 4 Site civil workers for the duration of this task.</t>
  </si>
  <si>
    <t>This cost has been estimated as task 4.2.1.1</t>
  </si>
  <si>
    <t>1/8th of the total cost of the panels and mounts as calculated in 6.1 + the salary of the procurement and logistics workers for X hours</t>
  </si>
  <si>
    <t>This WP cost have been estimated as task 4.1.3.2</t>
  </si>
  <si>
    <t>This cost has been estimated as task 4.2.2.1</t>
  </si>
  <si>
    <t>This cost has been estimated as task 4.2.2.2</t>
  </si>
  <si>
    <t>This cost has been estimated as task 4.2.2.3</t>
  </si>
  <si>
    <t xml:space="preserve">The cost of the fence has been estimated using a quatation from VORTEK S.R.L. (87000€). The total cost of each side is 1/4 of the cost of the material plus the salary of 3 site civil workers for the duration of each WP. </t>
  </si>
  <si>
    <t>Estimated based on "ALLEGATO 2 Prezzario della Regione Puglia 2024", in particular the voice cost for "Intervento selvicolturale di estirpazione boschiva in bosco ceduo degradato" € 2.513,97 / ha for the 78,5 ha</t>
  </si>
  <si>
    <t xml:space="preserve">This installation consists in 2 prefabricated buildings whose cost has been derived from the site www.container.it (2x4000€). To the material has been added the salary of 3 site civil workers for the duration of the task </t>
  </si>
  <si>
    <t>This cost has been estimated as task 4.2.3.1</t>
  </si>
  <si>
    <t>This cost has  been estimated as 4.2.3.2</t>
  </si>
  <si>
    <t>Electrical wiring  700€,  Generator 3300 €,  Internet setup 200€, Ventilation 300€, Lighting  500€, Safety equipment 400€, Tools &amp; furniture 1.000€. The total cost of material is 6400€. The overall cost of the task is the cost of the material plus the saalry off 3 site civil worker for the time length of this task</t>
  </si>
  <si>
    <t>This cost has been estimated from "Servizio Ecologico Meridionale" with a cost of 100 €/month for 3 toilets for 2 years. Adding the cost of 3 site civil workers we estimated the final cost.</t>
  </si>
  <si>
    <t>Milestones (  30% data collection, 70% report)</t>
  </si>
  <si>
    <t>Milestones ( 40% scoping, 30% reporting, 30% consultations)</t>
  </si>
  <si>
    <t>Milestones ( 50% draft, 30% review, 20% final)</t>
  </si>
  <si>
    <t>Milestones (Initial draft 40%, Technical review 30%, Approved layout 30%)</t>
  </si>
  <si>
    <t xml:space="preserve"> Milestones (Optimized layout 30%, Technical validation 30%, Final report 40%)</t>
  </si>
  <si>
    <t>Milestones (DTM model created 30%, Earthworks analysis 40%, Final validation &amp; report 30%)</t>
  </si>
  <si>
    <t>Milestones (Preliminary layout 30%, Hydraulic calculation 40%, Technical approval 30%)</t>
  </si>
  <si>
    <t>Milestones (Proposed route 30%, Typical sections &amp; details 40%, Validation 30%)</t>
  </si>
  <si>
    <t>Milestones (DC layout 30%, AC layout 30%, Validation 40%)</t>
  </si>
  <si>
    <t>Milestones (MV layout 30%, Protection schematics 30%, Validation 40%)</t>
  </si>
  <si>
    <t>Milestones (Soil study 30%, Design schematics 40%, Approval 30%)</t>
  </si>
  <si>
    <t>Milestones (Architecture defined 30%, Signal design 40%, Validation 30%)</t>
  </si>
  <si>
    <t>Milestones (Specs drafted 40%, Technical review 30%, Approval 30%)</t>
  </si>
  <si>
    <t>Milestones (Proposal layout 30%, Technical connection 40%, Validation 30%)</t>
  </si>
  <si>
    <t>Milestone (30% Identification, 30% offer reception, 40% negotiation closure)</t>
  </si>
  <si>
    <t>Milestones ( 25% for termination, 50% for labeling, 25% for testing)</t>
  </si>
  <si>
    <t>Milestones ( 50% for DC connections, 50% for AC connections)</t>
  </si>
  <si>
    <t>50/50</t>
  </si>
  <si>
    <t>Milestones ( 30% rods, 40% conductors, 30% testing)</t>
  </si>
  <si>
    <t>Milestones (30% hardware, 40% software, 30% integration)</t>
  </si>
  <si>
    <t>Milestones (50% installation, 50% testing)</t>
  </si>
  <si>
    <t>Units Completed (of  busbars installed and connected)</t>
  </si>
  <si>
    <t>Milestones (  40% pad prep, 60% installation)</t>
  </si>
  <si>
    <t>Units Completed(  of transformers connected)</t>
  </si>
  <si>
    <t>Milestones ( 30% submission, 40% review, 30% approval)</t>
  </si>
  <si>
    <t>Milestone (with a milestone for each bulding's foundation Completedd)</t>
  </si>
  <si>
    <t>Units Completed (meters of fence Completedd)</t>
  </si>
  <si>
    <t>Percent Complete (Management assessment)</t>
  </si>
  <si>
    <t>Milestones ( 30% specs, 30% bidding, 40% delivery )</t>
  </si>
  <si>
    <t>Milestones ( 25% for RFQ, 50% for vendor selection, 25% for contract sign)</t>
  </si>
  <si>
    <t>Units Completed (  of inverters tested)</t>
  </si>
  <si>
    <t>Milestones ( 25% specs, 25% bidding, 50% delivery)</t>
  </si>
  <si>
    <t>Units Completed (of switchgears intstalled)</t>
  </si>
  <si>
    <t>Milestones ( 50% specs, 50% delivery)</t>
  </si>
  <si>
    <t>Units Completed ( % of grounding conductors installed))</t>
  </si>
  <si>
    <t>Milestones (Completion of model setup, simulation runs, and report delivery)</t>
  </si>
  <si>
    <t>Milestones (Test setup completion, measurement phase, result validation)</t>
  </si>
  <si>
    <t>Milestones (Submission, review, approval received)</t>
  </si>
  <si>
    <t>Milestones (Draft completion, review, final submission)</t>
  </si>
  <si>
    <t>Milestones (PV arrays, inverters, trenasformers and SCADA tests)</t>
  </si>
  <si>
    <t>Units Completed (number of relays tested)</t>
  </si>
  <si>
    <t>Milestones (30% submission, 30% assessment, 40% approval)</t>
  </si>
  <si>
    <t>Units Completed (predefined zones Completedd)</t>
  </si>
  <si>
    <t>Units Completed (meters Completed)</t>
  </si>
  <si>
    <t xml:space="preserve">Units Completed (each secondary canal is a unit) d </t>
  </si>
  <si>
    <t xml:space="preserve">Units Completed (each secondary canal is a unit) </t>
  </si>
  <si>
    <t>Units Completed (meters of road  is the unit)</t>
  </si>
  <si>
    <t>Units Completed (Based on the number of PV strings tested)</t>
  </si>
  <si>
    <t>Collect and process satellite irradiance and meteorological data.
Perform time-series analysis to estimate GHI/DNI profiles over 10+ years. Compare model outputs with existing ground-station records for validation. Draft preliminary solar yield report to inform layout and economics.</t>
  </si>
  <si>
    <t>Assist in drafting Terms of Reference (ToR) for the full EIA study.
Organize and facilitate public consultation sessions and stakeholder meetings. Gather and summarize existing environmental studies and permits.Prepare the first draft of impact matrices and non-technical summary.</t>
  </si>
  <si>
    <t xml:space="preserve">Develop site-specific dust suppression strategies (watering, vegetation). Propose noise-control measures for construction machinery and traffic. Outline erosion-control and stormwater management best practices. Draft a monitoring plan with indicators, frequencies and responsible parties.
</t>
  </si>
  <si>
    <t>Compile all necessary permit applications (building, grid interconnection, EIA). Liaise with local authorities to clarify requirements and submission formats. Track permit status, respond to RFIs and schedule any required hearings. Maintain a permitting register with deadlines, document references and contacts.</t>
  </si>
  <si>
    <t>Plan and oversee borehole drilling locations per geotechnical program. Supervise in-situ tests and ensure correct sampling procedures. Coordinate laboratory soil classification, CBR, consolidation and shear tests. Review lab results and prepare initial geotechnical report with recommendations.</t>
  </si>
  <si>
    <t>50/50 (50% reacheed when lab test are performed)</t>
  </si>
  <si>
    <t>The cost has been derived considering the salary of 3 civil engineering team workers</t>
  </si>
  <si>
    <t>Automation and SCADA Engineering Team</t>
  </si>
  <si>
    <t>Power System Engineering Team</t>
  </si>
  <si>
    <t>The cost has been derived considering the salary of 1 civil engineering team and 2 energy engineering team workers</t>
  </si>
  <si>
    <t>The cost has been derived considering the salary of 1 civil engineering team worker</t>
  </si>
  <si>
    <t>The cost has been derived considering the salary of 2 civil engineering team workers</t>
  </si>
  <si>
    <t xml:space="preserve">The cost has been derived considering the salary of the legal office </t>
  </si>
  <si>
    <t>The cost has been derived considering the salary of 1 civil engineering team workers</t>
  </si>
  <si>
    <t>The cost has been derived considering the salary of 2 electrical engineering team workers</t>
  </si>
  <si>
    <t>The cost has been derived considering the salary of 3 electrical engineering team workers</t>
  </si>
  <si>
    <t>The cost has been derived considering the salary of 2 automation and SCADA engineering team workers</t>
  </si>
  <si>
    <t>The cost has been derived considering the salary of 2 power system engineering team workers</t>
  </si>
  <si>
    <t>The cost has been derived considering the salary of 1 power system engineering team and 2 electrical engineering team workers</t>
  </si>
  <si>
    <t>The cost has been derived considering the salary of 4 logistic team workers</t>
  </si>
  <si>
    <t xml:space="preserve">The cost has been derived considering the salary of 2 procurement team workers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</si>
</sst>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quot;"/>
    <numFmt numFmtId="165" formatCode="_-* #,##0.00\ [$€-410]_-;\-* #,##0.00\ [$€-410]_-;_-* &quot;-&quot;??\ [$€-410]_-;_-@_-"/>
    <numFmt numFmtId="166" formatCode="#,##0\ _€"/>
  </numFmts>
  <fonts count="20" x14ac:knownFonts="1">
    <font>
      <sz val="11"/>
      <color theme="1"/>
      <name val="Aptos Narrow"/>
      <family val="2"/>
      <scheme val="minor"/>
    </font>
    <font>
      <sz val="11"/>
      <color rgb="FF000000"/>
      <name val="Calibri"/>
      <family val="2"/>
    </font>
    <font>
      <sz val="12"/>
      <color rgb="FF000000"/>
      <name val="Calibri"/>
      <family val="2"/>
    </font>
    <font>
      <sz val="12"/>
      <color theme="1"/>
      <name val="Calibri"/>
      <family val="2"/>
    </font>
    <font>
      <sz val="11"/>
      <color theme="1"/>
      <name val="Calibri"/>
      <family val="2"/>
    </font>
    <font>
      <b/>
      <sz val="11"/>
      <color rgb="FF000000"/>
      <name val="Calibri"/>
      <family val="2"/>
    </font>
    <font>
      <b/>
      <sz val="18"/>
      <color theme="1"/>
      <name val="Aptos Narrow"/>
      <family val="2"/>
      <scheme val="minor"/>
    </font>
    <font>
      <b/>
      <sz val="11"/>
      <color theme="1"/>
      <name val="Calibri"/>
      <family val="2"/>
    </font>
    <font>
      <b/>
      <sz val="18"/>
      <color theme="1"/>
      <name val="Calibri"/>
      <family val="2"/>
    </font>
    <font>
      <u/>
      <sz val="11"/>
      <color theme="10"/>
      <name val="Aptos Narrow"/>
      <family val="2"/>
      <scheme val="minor"/>
    </font>
    <font>
      <b/>
      <sz val="11"/>
      <color theme="1"/>
      <name val="Aptos Narrow"/>
      <family val="2"/>
      <scheme val="minor"/>
    </font>
    <font>
      <sz val="11"/>
      <color rgb="FF000000"/>
      <name val="Aptos Narrow"/>
      <family val="2"/>
      <scheme val="minor"/>
    </font>
    <font>
      <sz val="11"/>
      <color rgb="FFFF0000"/>
      <name val="Calibri"/>
      <family val="2"/>
    </font>
    <font>
      <b/>
      <sz val="11"/>
      <color theme="1"/>
      <name val="Aptos Narrow"/>
      <family val="2"/>
      <scheme val="minor"/>
    </font>
    <font>
      <sz val="11"/>
      <color rgb="FF000000"/>
      <name val="Aptos Narrow"/>
      <family val="2"/>
      <scheme val="minor"/>
    </font>
    <font>
      <sz val="11"/>
      <color rgb="FFFF0000"/>
      <name val="Aptos Narrow"/>
      <family val="2"/>
      <scheme val="minor"/>
    </font>
    <font>
      <sz val="11"/>
      <color rgb="FF242424"/>
      <name val="Aptos Narrow"/>
      <family val="2"/>
    </font>
    <font>
      <sz val="8"/>
      <name val="Aptos Narrow"/>
      <family val="2"/>
      <scheme val="minor"/>
    </font>
    <font>
      <sz val="11"/>
      <name val="Calibri"/>
      <family val="2"/>
    </font>
    <font>
      <sz val="11"/>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0070C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theme="4"/>
      </left>
      <right style="thin">
        <color theme="4"/>
      </right>
      <top style="thin">
        <color theme="4"/>
      </top>
      <bottom style="medium">
        <color theme="4"/>
      </bottom>
      <diagonal/>
    </border>
    <border>
      <left style="thin">
        <color theme="4"/>
      </left>
      <right style="thin">
        <color theme="4"/>
      </right>
      <top style="thin">
        <color theme="4"/>
      </top>
      <bottom style="thin">
        <color theme="4"/>
      </bottom>
      <diagonal/>
    </border>
  </borders>
  <cellStyleXfs count="2">
    <xf numFmtId="0" fontId="0" fillId="0" borderId="0"/>
    <xf numFmtId="0" fontId="9" fillId="0" borderId="0" applyNumberFormat="0" applyFill="0" applyBorder="0" applyAlignment="0" applyProtection="0"/>
  </cellStyleXfs>
  <cellXfs count="171">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vertical="center" wrapText="1"/>
    </xf>
    <xf numFmtId="0" fontId="1" fillId="0" borderId="0" xfId="0" applyFont="1"/>
    <xf numFmtId="0" fontId="0" fillId="0" borderId="0" xfId="0" applyAlignment="1">
      <alignment horizontal="center" vertical="center"/>
    </xf>
    <xf numFmtId="0" fontId="1" fillId="0" borderId="0" xfId="0" applyFont="1" applyAlignment="1">
      <alignment vertical="center" wrapText="1"/>
    </xf>
    <xf numFmtId="165" fontId="1" fillId="0" borderId="1" xfId="0" applyNumberFormat="1" applyFont="1" applyBorder="1" applyAlignment="1">
      <alignment horizontal="center" vertical="center" wrapText="1"/>
    </xf>
    <xf numFmtId="0" fontId="0" fillId="0" borderId="0" xfId="0" applyAlignment="1">
      <alignment wrapText="1"/>
    </xf>
    <xf numFmtId="165" fontId="0" fillId="0" borderId="0" xfId="0" applyNumberFormat="1" applyAlignment="1">
      <alignment horizontal="center" vertical="center"/>
    </xf>
    <xf numFmtId="0" fontId="0" fillId="0" borderId="0" xfId="0" applyAlignment="1">
      <alignment vertical="center"/>
    </xf>
    <xf numFmtId="0" fontId="0" fillId="0" borderId="7" xfId="0" applyBorder="1" applyAlignment="1">
      <alignment horizontal="center" vertical="center" wrapText="1"/>
    </xf>
    <xf numFmtId="0" fontId="0" fillId="0" borderId="5" xfId="0" applyBorder="1" applyAlignment="1">
      <alignment horizontal="center" vertical="center"/>
    </xf>
    <xf numFmtId="165" fontId="0" fillId="0" borderId="5" xfId="0" applyNumberFormat="1" applyBorder="1" applyAlignment="1">
      <alignment horizontal="center" vertical="center"/>
    </xf>
    <xf numFmtId="0" fontId="0" fillId="0" borderId="0" xfId="0" applyAlignment="1">
      <alignment horizontal="left" vertical="center"/>
    </xf>
    <xf numFmtId="0" fontId="4" fillId="0" borderId="1" xfId="0" applyFont="1" applyBorder="1" applyAlignment="1">
      <alignment horizontal="center" vertical="center"/>
    </xf>
    <xf numFmtId="165" fontId="4" fillId="0" borderId="1" xfId="0" applyNumberFormat="1" applyFont="1" applyBorder="1" applyAlignment="1">
      <alignment horizontal="center" vertical="center"/>
    </xf>
    <xf numFmtId="0" fontId="4" fillId="0" borderId="0" xfId="0" applyFont="1"/>
    <xf numFmtId="0" fontId="3" fillId="0" borderId="2"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65" fontId="3" fillId="0" borderId="1" xfId="0" applyNumberFormat="1"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xf>
    <xf numFmtId="0" fontId="3" fillId="2"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0" borderId="0" xfId="0" applyFont="1"/>
    <xf numFmtId="0" fontId="3" fillId="2" borderId="1" xfId="0" applyFont="1" applyFill="1" applyBorder="1" applyAlignment="1">
      <alignment horizontal="center" vertical="center"/>
    </xf>
    <xf numFmtId="165" fontId="3" fillId="2" borderId="1" xfId="0" applyNumberFormat="1" applyFont="1" applyFill="1" applyBorder="1" applyAlignment="1">
      <alignment horizontal="center" vertical="center"/>
    </xf>
    <xf numFmtId="0" fontId="3" fillId="2" borderId="2" xfId="0" applyFont="1" applyFill="1" applyBorder="1" applyAlignment="1">
      <alignment horizontal="left" vertical="center" wrapText="1"/>
    </xf>
    <xf numFmtId="0" fontId="3" fillId="0" borderId="4" xfId="0" applyFont="1" applyBorder="1" applyAlignment="1">
      <alignment horizontal="left" vertical="center"/>
    </xf>
    <xf numFmtId="0" fontId="3" fillId="0" borderId="0" xfId="0" applyFont="1" applyAlignment="1">
      <alignment horizontal="left"/>
    </xf>
    <xf numFmtId="0" fontId="3" fillId="0" borderId="4" xfId="0" applyFont="1" applyBorder="1" applyAlignment="1">
      <alignment horizontal="center" vertical="center"/>
    </xf>
    <xf numFmtId="165" fontId="3" fillId="0" borderId="4" xfId="0" applyNumberFormat="1" applyFont="1" applyBorder="1" applyAlignment="1">
      <alignment horizontal="center" vertical="center"/>
    </xf>
    <xf numFmtId="165" fontId="4" fillId="0" borderId="2" xfId="0" applyNumberFormat="1" applyFont="1" applyBorder="1" applyAlignment="1">
      <alignment horizontal="center" vertical="center"/>
    </xf>
    <xf numFmtId="0" fontId="4" fillId="0" borderId="1" xfId="0" applyFont="1" applyBorder="1"/>
    <xf numFmtId="165" fontId="4" fillId="0" borderId="1" xfId="0" applyNumberFormat="1" applyFont="1" applyBorder="1"/>
    <xf numFmtId="165" fontId="4" fillId="0" borderId="0" xfId="0" applyNumberFormat="1" applyFont="1"/>
    <xf numFmtId="165" fontId="4" fillId="0" borderId="9"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xf numFmtId="165" fontId="4" fillId="0" borderId="11" xfId="0" applyNumberFormat="1"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165" fontId="7" fillId="0" borderId="5" xfId="0" applyNumberFormat="1" applyFont="1" applyBorder="1" applyAlignment="1">
      <alignment horizontal="center" vertical="center"/>
    </xf>
    <xf numFmtId="165" fontId="7" fillId="0" borderId="3" xfId="0" applyNumberFormat="1" applyFont="1" applyBorder="1" applyAlignment="1">
      <alignment horizontal="center" vertical="center"/>
    </xf>
    <xf numFmtId="0" fontId="4" fillId="0" borderId="6" xfId="0" applyFont="1" applyBorder="1"/>
    <xf numFmtId="0" fontId="4" fillId="0" borderId="4" xfId="0" applyFont="1" applyBorder="1"/>
    <xf numFmtId="165" fontId="4" fillId="0" borderId="4" xfId="0" applyNumberFormat="1" applyFont="1" applyBorder="1"/>
    <xf numFmtId="0" fontId="0" fillId="3" borderId="0" xfId="0" applyFill="1"/>
    <xf numFmtId="0" fontId="0" fillId="3" borderId="0" xfId="0" applyFill="1" applyAlignment="1">
      <alignment horizontal="center" vertical="center"/>
    </xf>
    <xf numFmtId="0" fontId="0" fillId="3" borderId="0" xfId="0" applyFill="1" applyAlignment="1">
      <alignment vertical="center"/>
    </xf>
    <xf numFmtId="0" fontId="0" fillId="3" borderId="0" xfId="0" applyFill="1" applyAlignment="1">
      <alignment wrapText="1"/>
    </xf>
    <xf numFmtId="165" fontId="0" fillId="0" borderId="0" xfId="0" applyNumberFormat="1"/>
    <xf numFmtId="0" fontId="0" fillId="0" borderId="0" xfId="0" applyAlignment="1">
      <alignment vertical="center" wrapText="1"/>
    </xf>
    <xf numFmtId="0" fontId="0" fillId="3" borderId="0" xfId="0" applyFill="1" applyAlignment="1">
      <alignment horizontal="center" vertical="center" wrapText="1"/>
    </xf>
    <xf numFmtId="0" fontId="5" fillId="0" borderId="14" xfId="0" applyFont="1" applyBorder="1" applyAlignment="1">
      <alignment horizontal="left" vertical="center" wrapText="1"/>
    </xf>
    <xf numFmtId="0" fontId="7" fillId="4" borderId="15" xfId="0" applyFont="1" applyFill="1" applyBorder="1" applyAlignment="1">
      <alignment horizontal="left" vertical="center" wrapText="1"/>
    </xf>
    <xf numFmtId="0" fontId="1" fillId="0" borderId="15" xfId="0" applyFont="1" applyBorder="1" applyAlignment="1">
      <alignment horizontal="center" vertical="center" wrapText="1"/>
    </xf>
    <xf numFmtId="0" fontId="1" fillId="0" borderId="15" xfId="0" applyFont="1" applyBorder="1" applyAlignment="1">
      <alignment horizontal="left" vertical="center" wrapText="1"/>
    </xf>
    <xf numFmtId="0" fontId="1" fillId="5" borderId="15" xfId="0" applyFont="1" applyFill="1" applyBorder="1" applyAlignment="1">
      <alignment horizontal="center" vertical="center" wrapText="1"/>
    </xf>
    <xf numFmtId="0" fontId="1" fillId="5" borderId="15" xfId="0" applyFont="1" applyFill="1" applyBorder="1" applyAlignment="1">
      <alignment horizontal="left" vertical="center" wrapText="1"/>
    </xf>
    <xf numFmtId="0" fontId="4" fillId="0" borderId="15" xfId="0" applyFont="1" applyBorder="1" applyAlignment="1">
      <alignment horizontal="center" vertical="center" wrapText="1"/>
    </xf>
    <xf numFmtId="0" fontId="4" fillId="5" borderId="15" xfId="0" applyFont="1" applyFill="1" applyBorder="1" applyAlignment="1">
      <alignment horizontal="center" vertical="center" wrapText="1"/>
    </xf>
    <xf numFmtId="0" fontId="4" fillId="5" borderId="15" xfId="0" applyFont="1" applyFill="1" applyBorder="1" applyAlignment="1">
      <alignment horizontal="left" vertical="center" wrapText="1"/>
    </xf>
    <xf numFmtId="0" fontId="4" fillId="0" borderId="15" xfId="0" applyFont="1" applyBorder="1" applyAlignment="1">
      <alignment horizontal="left" vertical="center" wrapText="1"/>
    </xf>
    <xf numFmtId="0" fontId="10" fillId="4" borderId="15" xfId="0" applyFont="1" applyFill="1" applyBorder="1" applyAlignment="1">
      <alignment horizontal="left" vertical="center" wrapText="1"/>
    </xf>
    <xf numFmtId="0" fontId="0" fillId="0" borderId="15" xfId="0" applyBorder="1" applyAlignment="1">
      <alignment horizontal="left" vertical="center" wrapText="1"/>
    </xf>
    <xf numFmtId="0" fontId="0" fillId="5" borderId="15" xfId="0" applyFill="1" applyBorder="1" applyAlignment="1">
      <alignment horizontal="left" vertical="center" wrapText="1"/>
    </xf>
    <xf numFmtId="0" fontId="11" fillId="5" borderId="15" xfId="0" applyFont="1" applyFill="1" applyBorder="1" applyAlignment="1">
      <alignment horizontal="left" vertical="center" wrapText="1"/>
    </xf>
    <xf numFmtId="0" fontId="11" fillId="0" borderId="15" xfId="0" applyFont="1" applyBorder="1" applyAlignment="1">
      <alignment horizontal="left" vertical="center" wrapText="1"/>
    </xf>
    <xf numFmtId="0" fontId="11" fillId="6" borderId="15" xfId="0" applyFont="1" applyFill="1" applyBorder="1" applyAlignment="1">
      <alignment horizontal="left" vertical="center" wrapText="1"/>
    </xf>
    <xf numFmtId="0" fontId="4" fillId="4" borderId="15" xfId="0" applyFont="1" applyFill="1" applyBorder="1" applyAlignment="1">
      <alignment horizontal="left" vertical="center" wrapText="1"/>
    </xf>
    <xf numFmtId="164" fontId="5" fillId="0" borderId="14" xfId="0" applyNumberFormat="1" applyFont="1" applyBorder="1" applyAlignment="1">
      <alignment horizontal="left" vertical="center" wrapText="1"/>
    </xf>
    <xf numFmtId="164" fontId="7" fillId="4" borderId="15" xfId="0" applyNumberFormat="1" applyFont="1" applyFill="1" applyBorder="1" applyAlignment="1">
      <alignment horizontal="left" vertical="center" wrapText="1"/>
    </xf>
    <xf numFmtId="164" fontId="1" fillId="0" borderId="15" xfId="0" applyNumberFormat="1" applyFont="1" applyBorder="1" applyAlignment="1">
      <alignment horizontal="left" vertical="center" wrapText="1"/>
    </xf>
    <xf numFmtId="164" fontId="1" fillId="5" borderId="15" xfId="0" applyNumberFormat="1" applyFont="1" applyFill="1" applyBorder="1" applyAlignment="1">
      <alignment horizontal="left" vertical="center" wrapText="1"/>
    </xf>
    <xf numFmtId="164" fontId="4" fillId="5" borderId="15" xfId="0" applyNumberFormat="1" applyFont="1" applyFill="1" applyBorder="1" applyAlignment="1">
      <alignment horizontal="left" vertical="center" wrapText="1"/>
    </xf>
    <xf numFmtId="164" fontId="4" fillId="0" borderId="15" xfId="0" applyNumberFormat="1" applyFont="1" applyBorder="1" applyAlignment="1">
      <alignment horizontal="left" vertical="center" wrapText="1"/>
    </xf>
    <xf numFmtId="164" fontId="10" fillId="4" borderId="15" xfId="0" applyNumberFormat="1" applyFont="1" applyFill="1" applyBorder="1" applyAlignment="1">
      <alignment horizontal="left" vertical="center" wrapText="1"/>
    </xf>
    <xf numFmtId="164" fontId="0" fillId="0" borderId="15" xfId="0" applyNumberFormat="1" applyBorder="1" applyAlignment="1">
      <alignment horizontal="left" vertical="center" wrapText="1"/>
    </xf>
    <xf numFmtId="164" fontId="0" fillId="5" borderId="15" xfId="0" applyNumberFormat="1" applyFill="1" applyBorder="1" applyAlignment="1">
      <alignment horizontal="left" vertical="center" wrapText="1"/>
    </xf>
    <xf numFmtId="164" fontId="11" fillId="5" borderId="15" xfId="0" applyNumberFormat="1" applyFont="1" applyFill="1" applyBorder="1" applyAlignment="1">
      <alignment horizontal="left" vertical="center" wrapText="1"/>
    </xf>
    <xf numFmtId="164" fontId="11" fillId="0" borderId="15" xfId="0" applyNumberFormat="1" applyFont="1" applyBorder="1" applyAlignment="1">
      <alignment horizontal="left" vertical="center" wrapText="1"/>
    </xf>
    <xf numFmtId="164" fontId="4" fillId="4" borderId="15" xfId="0" applyNumberFormat="1" applyFont="1" applyFill="1" applyBorder="1" applyAlignment="1">
      <alignment horizontal="left" vertical="center" wrapText="1"/>
    </xf>
    <xf numFmtId="164" fontId="0" fillId="0" borderId="0" xfId="0" applyNumberFormat="1"/>
    <xf numFmtId="49" fontId="5" fillId="0" borderId="14" xfId="0" applyNumberFormat="1" applyFont="1" applyBorder="1" applyAlignment="1">
      <alignment horizontal="center" vertical="center" wrapText="1"/>
    </xf>
    <xf numFmtId="49" fontId="7" fillId="4" borderId="15" xfId="0" applyNumberFormat="1" applyFont="1" applyFill="1" applyBorder="1" applyAlignment="1">
      <alignment horizontal="center" vertical="center" wrapText="1"/>
    </xf>
    <xf numFmtId="49" fontId="1" fillId="0" borderId="15" xfId="0" applyNumberFormat="1" applyFont="1" applyBorder="1" applyAlignment="1">
      <alignment horizontal="center" vertical="center" wrapText="1"/>
    </xf>
    <xf numFmtId="49" fontId="1" fillId="5" borderId="15" xfId="0" applyNumberFormat="1" applyFont="1" applyFill="1" applyBorder="1" applyAlignment="1">
      <alignment horizontal="center" vertical="center" wrapText="1"/>
    </xf>
    <xf numFmtId="49" fontId="4" fillId="0" borderId="15" xfId="0" applyNumberFormat="1" applyFont="1" applyBorder="1" applyAlignment="1">
      <alignment horizontal="center" vertical="center" wrapText="1"/>
    </xf>
    <xf numFmtId="49" fontId="4" fillId="5" borderId="15" xfId="0" applyNumberFormat="1" applyFont="1" applyFill="1" applyBorder="1" applyAlignment="1">
      <alignment horizontal="center" vertical="center" wrapText="1"/>
    </xf>
    <xf numFmtId="49" fontId="10" fillId="4" borderId="15" xfId="0" applyNumberFormat="1" applyFont="1" applyFill="1" applyBorder="1" applyAlignment="1">
      <alignment horizontal="center" vertical="center" wrapText="1"/>
    </xf>
    <xf numFmtId="49" fontId="0" fillId="0" borderId="15" xfId="0" applyNumberFormat="1" applyBorder="1" applyAlignment="1">
      <alignment horizontal="center" vertical="center" wrapText="1"/>
    </xf>
    <xf numFmtId="49" fontId="0" fillId="5" borderId="15" xfId="0" applyNumberFormat="1" applyFill="1" applyBorder="1" applyAlignment="1">
      <alignment horizontal="center" vertical="center" wrapText="1"/>
    </xf>
    <xf numFmtId="49" fontId="11" fillId="0" borderId="15" xfId="0" applyNumberFormat="1" applyFont="1" applyBorder="1" applyAlignment="1">
      <alignment horizontal="center" vertical="center" wrapText="1"/>
    </xf>
    <xf numFmtId="49" fontId="11" fillId="5" borderId="15" xfId="0" applyNumberFormat="1" applyFont="1" applyFill="1" applyBorder="1" applyAlignment="1">
      <alignment horizontal="center" vertical="center" wrapText="1"/>
    </xf>
    <xf numFmtId="49" fontId="11" fillId="6" borderId="15" xfId="0" applyNumberFormat="1" applyFont="1" applyFill="1" applyBorder="1" applyAlignment="1">
      <alignment horizontal="center" vertical="center" wrapText="1"/>
    </xf>
    <xf numFmtId="49" fontId="4" fillId="4" borderId="15" xfId="0" applyNumberFormat="1" applyFont="1" applyFill="1" applyBorder="1" applyAlignment="1">
      <alignment horizontal="center" vertical="center" wrapText="1"/>
    </xf>
    <xf numFmtId="0" fontId="0" fillId="0" borderId="15" xfId="0" applyBorder="1" applyAlignment="1">
      <alignment horizontal="center"/>
    </xf>
    <xf numFmtId="49" fontId="0" fillId="0" borderId="0" xfId="0" applyNumberFormat="1" applyAlignment="1">
      <alignment horizontal="center"/>
    </xf>
    <xf numFmtId="0" fontId="0" fillId="0" borderId="15" xfId="0" applyBorder="1" applyAlignment="1">
      <alignment horizontal="left"/>
    </xf>
    <xf numFmtId="0" fontId="0" fillId="0" borderId="0" xfId="0" applyAlignment="1">
      <alignment horizontal="left"/>
    </xf>
    <xf numFmtId="164" fontId="0" fillId="0" borderId="15" xfId="0" applyNumberFormat="1" applyBorder="1" applyAlignment="1">
      <alignment horizontal="left"/>
    </xf>
    <xf numFmtId="0" fontId="1" fillId="0" borderId="0" xfId="0" applyFont="1" applyAlignment="1">
      <alignment horizontal="left" vertical="center" wrapText="1"/>
    </xf>
    <xf numFmtId="0" fontId="4" fillId="0" borderId="0" xfId="0" applyFont="1" applyAlignment="1">
      <alignment horizontal="center" vertical="center" wrapText="1"/>
    </xf>
    <xf numFmtId="0" fontId="7" fillId="4" borderId="0" xfId="0" applyFont="1" applyFill="1" applyAlignment="1">
      <alignment horizontal="center" vertical="center" wrapText="1"/>
    </xf>
    <xf numFmtId="0" fontId="7" fillId="4" borderId="0" xfId="0" applyFont="1" applyFill="1" applyAlignment="1">
      <alignment horizontal="left" vertical="center" wrapText="1"/>
    </xf>
    <xf numFmtId="0" fontId="12" fillId="0" borderId="0" xfId="0" applyFont="1" applyAlignment="1">
      <alignment horizontal="center" vertical="center" wrapText="1"/>
    </xf>
    <xf numFmtId="0" fontId="4" fillId="0" borderId="0" xfId="0" applyFont="1" applyAlignment="1">
      <alignment horizontal="left" vertical="center" wrapText="1"/>
    </xf>
    <xf numFmtId="0" fontId="13" fillId="4" borderId="0" xfId="0" applyFont="1" applyFill="1" applyAlignment="1">
      <alignment horizontal="center" vertical="center" wrapText="1"/>
    </xf>
    <xf numFmtId="0" fontId="13" fillId="4" borderId="0" xfId="0" applyFont="1" applyFill="1" applyAlignment="1">
      <alignment horizontal="left" vertical="center" wrapText="1"/>
    </xf>
    <xf numFmtId="0" fontId="13" fillId="4" borderId="0" xfId="0" applyFont="1" applyFill="1" applyAlignment="1">
      <alignment horizontal="left" wrapText="1"/>
    </xf>
    <xf numFmtId="0" fontId="0" fillId="0" borderId="0" xfId="0" applyAlignment="1">
      <alignment horizontal="left" vertical="center" wrapText="1"/>
    </xf>
    <xf numFmtId="0" fontId="0" fillId="0" borderId="0" xfId="0" applyAlignment="1">
      <alignment horizontal="left" wrapText="1"/>
    </xf>
    <xf numFmtId="0" fontId="0" fillId="2" borderId="0" xfId="0" applyFill="1" applyAlignment="1">
      <alignment horizontal="left" wrapText="1"/>
    </xf>
    <xf numFmtId="0" fontId="0" fillId="0" borderId="0" xfId="0" applyAlignment="1">
      <alignment horizontal="left" vertical="top" wrapText="1"/>
    </xf>
    <xf numFmtId="0" fontId="14" fillId="0" borderId="0" xfId="0" applyFont="1" applyAlignment="1">
      <alignment horizontal="left" vertical="center" wrapText="1"/>
    </xf>
    <xf numFmtId="0" fontId="14" fillId="7" borderId="0" xfId="0" applyFont="1" applyFill="1" applyAlignment="1">
      <alignment horizontal="left" vertical="center" wrapText="1"/>
    </xf>
    <xf numFmtId="0" fontId="0" fillId="7" borderId="0" xfId="0" applyFill="1" applyAlignment="1">
      <alignment horizontal="left" vertical="center" wrapText="1"/>
    </xf>
    <xf numFmtId="0" fontId="4" fillId="7" borderId="0" xfId="0" applyFont="1" applyFill="1" applyAlignment="1">
      <alignment horizontal="center" vertical="center" wrapText="1"/>
    </xf>
    <xf numFmtId="0" fontId="4" fillId="4" borderId="0" xfId="0" applyFont="1" applyFill="1" applyAlignment="1">
      <alignment horizontal="center" vertical="center" wrapText="1"/>
    </xf>
    <xf numFmtId="0" fontId="4" fillId="4" borderId="0" xfId="0" applyFont="1" applyFill="1" applyAlignment="1">
      <alignment horizontal="left" vertical="center" wrapText="1"/>
    </xf>
    <xf numFmtId="0" fontId="1" fillId="0" borderId="0" xfId="0" applyFont="1" applyAlignment="1">
      <alignment wrapText="1"/>
    </xf>
    <xf numFmtId="49" fontId="7" fillId="4" borderId="0" xfId="0" applyNumberFormat="1" applyFont="1" applyFill="1" applyAlignment="1">
      <alignment horizontal="center" vertical="center" wrapText="1"/>
    </xf>
    <xf numFmtId="49" fontId="1"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13" fillId="4" borderId="0" xfId="0" applyNumberFormat="1" applyFont="1" applyFill="1" applyAlignment="1">
      <alignment horizontal="center" vertical="center" wrapText="1"/>
    </xf>
    <xf numFmtId="49" fontId="0" fillId="0" borderId="0" xfId="0" applyNumberFormat="1" applyAlignment="1">
      <alignment horizontal="center" vertical="center" wrapText="1"/>
    </xf>
    <xf numFmtId="49" fontId="14" fillId="0" borderId="0" xfId="0" applyNumberFormat="1" applyFont="1" applyAlignment="1">
      <alignment horizontal="center" vertical="center" wrapText="1"/>
    </xf>
    <xf numFmtId="49" fontId="14" fillId="7" borderId="0" xfId="0" applyNumberFormat="1" applyFont="1" applyFill="1" applyAlignment="1">
      <alignment horizontal="center" vertical="center" wrapText="1"/>
    </xf>
    <xf numFmtId="0" fontId="9" fillId="0" borderId="0" xfId="1" applyAlignment="1">
      <alignment vertical="center" wrapText="1"/>
    </xf>
    <xf numFmtId="0" fontId="0" fillId="2" borderId="0" xfId="0" applyFill="1" applyAlignment="1">
      <alignment vertical="center" wrapText="1"/>
    </xf>
    <xf numFmtId="165" fontId="0" fillId="0" borderId="0" xfId="0" applyNumberFormat="1" applyAlignment="1">
      <alignment vertical="center" wrapText="1"/>
    </xf>
    <xf numFmtId="0" fontId="11" fillId="0" borderId="0" xfId="0" applyFont="1" applyAlignment="1">
      <alignment vertical="center" wrapText="1"/>
    </xf>
    <xf numFmtId="164" fontId="0" fillId="0" borderId="0" xfId="0" applyNumberFormat="1" applyAlignment="1">
      <alignment vertical="center" wrapText="1"/>
    </xf>
    <xf numFmtId="166" fontId="0" fillId="0" borderId="0" xfId="0" applyNumberFormat="1"/>
    <xf numFmtId="166" fontId="11" fillId="0" borderId="0" xfId="0" applyNumberFormat="1" applyFont="1" applyAlignment="1">
      <alignment vertical="center" wrapText="1"/>
    </xf>
    <xf numFmtId="166" fontId="0" fillId="0" borderId="0" xfId="0" applyNumberFormat="1" applyAlignment="1">
      <alignment vertical="center" wrapText="1"/>
    </xf>
    <xf numFmtId="0" fontId="16" fillId="0" borderId="0" xfId="0" applyFont="1"/>
    <xf numFmtId="0" fontId="0" fillId="8" borderId="15" xfId="0" applyFill="1" applyBorder="1" applyAlignment="1">
      <alignment horizontal="left" vertical="center" wrapText="1"/>
    </xf>
    <xf numFmtId="0" fontId="0" fillId="9" borderId="0" xfId="0" applyFill="1" applyAlignment="1">
      <alignment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19" fillId="7" borderId="0" xfId="0" applyFont="1" applyFill="1" applyAlignment="1">
      <alignment horizontal="center" vertical="center" wrapText="1"/>
    </xf>
    <xf numFmtId="0" fontId="0" fillId="9" borderId="0" xfId="0" applyFill="1"/>
    <xf numFmtId="0" fontId="0" fillId="9" borderId="0" xfId="0" applyFill="1" applyAlignment="1">
      <alignment horizontal="center" vertical="center"/>
    </xf>
    <xf numFmtId="0" fontId="0" fillId="9" borderId="0" xfId="0" applyFill="1" applyAlignment="1">
      <alignment vertical="center"/>
    </xf>
    <xf numFmtId="165" fontId="8" fillId="0" borderId="8" xfId="0" applyNumberFormat="1" applyFont="1" applyBorder="1" applyAlignment="1">
      <alignment horizontal="center" vertical="center"/>
    </xf>
    <xf numFmtId="165" fontId="8" fillId="0" borderId="9" xfId="0" applyNumberFormat="1" applyFont="1" applyBorder="1" applyAlignment="1">
      <alignment horizontal="center" vertical="center"/>
    </xf>
    <xf numFmtId="165" fontId="8" fillId="0" borderId="6" xfId="0" applyNumberFormat="1" applyFont="1" applyBorder="1" applyAlignment="1">
      <alignment horizontal="center" vertical="center"/>
    </xf>
    <xf numFmtId="165" fontId="8" fillId="0" borderId="10" xfId="0" applyNumberFormat="1" applyFont="1" applyBorder="1" applyAlignment="1">
      <alignment horizontal="center" vertical="center"/>
    </xf>
    <xf numFmtId="165" fontId="8" fillId="0" borderId="0" xfId="0" applyNumberFormat="1" applyFont="1" applyAlignment="1">
      <alignment horizontal="center" vertical="center"/>
    </xf>
    <xf numFmtId="165" fontId="8" fillId="0" borderId="13" xfId="0" applyNumberFormat="1" applyFont="1" applyBorder="1" applyAlignment="1">
      <alignment horizontal="center" vertical="center"/>
    </xf>
    <xf numFmtId="165" fontId="8" fillId="0" borderId="12" xfId="0" applyNumberFormat="1" applyFont="1" applyBorder="1" applyAlignment="1">
      <alignment horizontal="center" vertical="center"/>
    </xf>
    <xf numFmtId="165" fontId="8" fillId="0" borderId="3" xfId="0" applyNumberFormat="1" applyFont="1" applyBorder="1" applyAlignment="1">
      <alignment horizontal="center" vertical="center"/>
    </xf>
    <xf numFmtId="165" fontId="8" fillId="0" borderId="7" xfId="0" applyNumberFormat="1" applyFont="1" applyBorder="1" applyAlignment="1">
      <alignment horizontal="center" vertical="center"/>
    </xf>
    <xf numFmtId="0" fontId="0" fillId="0" borderId="0" xfId="0" applyAlignment="1">
      <alignment horizont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6" fillId="0" borderId="13"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0" fontId="0" fillId="0" borderId="0" xfId="0" applyFill="1" applyAlignment="1">
      <alignment horizontal="center" vertical="center"/>
    </xf>
    <xf numFmtId="0" fontId="1" fillId="0" borderId="15" xfId="0" applyFont="1" applyFill="1" applyBorder="1" applyAlignment="1">
      <alignment horizontal="left" vertical="center" wrapText="1"/>
    </xf>
    <xf numFmtId="0" fontId="4" fillId="0" borderId="15" xfId="0" applyFont="1" applyFill="1" applyBorder="1" applyAlignment="1">
      <alignment horizontal="left" vertical="center" wrapText="1"/>
    </xf>
  </cellXfs>
  <cellStyles count="2">
    <cellStyle name="Hyperlink" xfId="1" xr:uid="{00000000-000B-0000-0000-000008000000}"/>
    <cellStyle name="Normale" xfId="0" builtinId="0"/>
  </cellStyles>
  <dxfs count="32">
    <dxf>
      <font>
        <strike val="0"/>
        <outline val="0"/>
        <shadow val="0"/>
        <u val="none"/>
        <vertAlign val="baseline"/>
        <sz val="12"/>
        <name val="Calibri"/>
        <family val="2"/>
        <scheme val="none"/>
      </font>
      <numFmt numFmtId="165" formatCode="_-* #,##0.00\ [$€-410]_-;\-* #,##0.00\ [$€-410]_-;_-* &quot;-&quot;??\ [$€-410]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2"/>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2"/>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family val="2"/>
        <scheme val="none"/>
      </font>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left style="thin">
          <color rgb="FF000000"/>
        </left>
        <top style="thin">
          <color rgb="FF000000"/>
        </top>
      </border>
    </dxf>
    <dxf>
      <font>
        <strike val="0"/>
        <outline val="0"/>
        <shadow val="0"/>
        <u val="none"/>
        <vertAlign val="baseline"/>
        <sz val="12"/>
        <name val="Calibri"/>
        <family val="2"/>
        <scheme val="none"/>
      </font>
    </dxf>
    <dxf>
      <border outline="0">
        <bottom style="thin">
          <color rgb="FF000000"/>
        </bottom>
      </border>
    </dxf>
    <dxf>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165" formatCode="_-* #,##0.00\ [$€-410]_-;\-* #,##0.00\ [$€-410]_-;_-* &quot;-&quot;??\ [$€-410]_-;_-@_-"/>
      <alignment horizontal="center" vertical="center"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65" formatCode="_-* #,##0.00\ [$€-410]_-;\-* #,##0.00\ [$€-410]_-;_-* &quot;-&quot;??\ [$€-410]_-;_-@_-"/>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strike val="0"/>
        <outline val="0"/>
        <shadow val="0"/>
        <vertAlign val="baseline"/>
        <sz val="11"/>
        <name val="Aptos Narrow"/>
        <family val="2"/>
        <scheme val="minor"/>
      </font>
    </dxf>
    <dxf>
      <font>
        <strike val="0"/>
        <outline val="0"/>
        <shadow val="0"/>
        <vertAlign val="baseline"/>
        <sz val="11"/>
        <name val="Aptos Narrow"/>
        <family val="2"/>
        <scheme val="minor"/>
      </font>
      <numFmt numFmtId="164" formatCode="#,##0\ &quot;€&quot;"/>
    </dxf>
    <dxf>
      <font>
        <strike val="0"/>
        <outline val="0"/>
        <shadow val="0"/>
        <vertAlign val="baseline"/>
        <sz val="11"/>
        <name val="Aptos Narrow"/>
        <family val="2"/>
        <scheme val="minor"/>
      </font>
    </dxf>
    <dxf>
      <font>
        <strike val="0"/>
        <outline val="0"/>
        <shadow val="0"/>
        <vertAlign val="baseline"/>
        <sz val="11"/>
        <name val="Aptos Narrow"/>
        <family val="2"/>
        <scheme val="minor"/>
      </font>
    </dxf>
    <dxf>
      <font>
        <strike val="0"/>
        <outline val="0"/>
        <shadow val="0"/>
        <vertAlign val="baseline"/>
        <sz val="11"/>
        <name val="Aptos Narrow"/>
        <family val="2"/>
        <scheme val="minor"/>
      </font>
    </dxf>
    <dxf>
      <font>
        <strike val="0"/>
        <outline val="0"/>
        <shadow val="0"/>
        <vertAlign val="baseline"/>
        <sz val="11"/>
        <name val="Aptos Narrow"/>
        <family val="2"/>
        <scheme val="minor"/>
      </font>
    </dxf>
    <dxf>
      <font>
        <strike val="0"/>
        <outline val="0"/>
        <shadow val="0"/>
        <vertAlign val="baseline"/>
        <sz val="11"/>
        <name val="Aptos Narrow"/>
        <family val="2"/>
        <scheme val="minor"/>
      </font>
    </dxf>
    <dxf>
      <font>
        <strike val="0"/>
        <outline val="0"/>
        <shadow val="0"/>
        <vertAlign val="baseline"/>
        <sz val="1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4412B0-3221-47D9-A3CF-516435859443}" name="Table4" displayName="Table4" ref="A1:F129" totalsRowShown="0" headerRowDxfId="31" dataDxfId="30">
  <autoFilter ref="A1:F129" xr:uid="{E44412B0-3221-47D9-A3CF-516435859443}"/>
  <tableColumns count="6">
    <tableColumn id="1" xr3:uid="{543D0F9F-B78C-444A-B319-5594E6DE65F3}" name="Layer 1" dataDxfId="29"/>
    <tableColumn id="2" xr3:uid="{3A1D9A1A-2D91-4710-9465-5E3504B9C08E}" name="Layer 2" dataDxfId="28"/>
    <tableColumn id="3" xr3:uid="{9CB58E51-058C-488E-8E69-EBAE89B4276F}" name="Layer 3" dataDxfId="27"/>
    <tableColumn id="4" xr3:uid="{344E87BE-034F-440E-B2B1-460A573C52B9}" name="Layer 4" dataDxfId="26"/>
    <tableColumn id="5" xr3:uid="{69129876-2A72-4813-AE5C-DEDFDFBA737D}" name="Cost = equipment + work hours*fee" dataDxfId="25"/>
    <tableColumn id="6" xr3:uid="{160DAB29-AF51-4E77-82D6-0EC5566A7614}" name="Work Hour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270C2F-90E4-457B-8585-5960DBA54A89}" name="Table1" displayName="Table1" ref="A1:D113" totalsRowShown="0" headerRowDxfId="23" dataDxfId="22">
  <autoFilter ref="A1:D113" xr:uid="{71270C2F-90E4-457B-8585-5960DBA54A89}"/>
  <tableColumns count="4">
    <tableColumn id="1" xr3:uid="{53941901-98A9-4AC3-A161-3ED6159E3065}" name="WP Code" dataDxfId="21"/>
    <tableColumn id="2" xr3:uid="{C24C32F8-77A8-419F-A73F-AA2C632560D1}" name="Task Name" dataDxfId="20"/>
    <tableColumn id="3" xr3:uid="{CE32BCCF-6297-4BDF-A550-FF1F22141695}" name="Description" dataDxfId="19"/>
    <tableColumn id="5" xr3:uid="{94FF4EA3-EAE0-4E29-905C-7FC65AD3BD48}" name="Method of Measuring Status" dataDxfId="18"/>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5162AF-17FD-4BB0-84DD-B6690378BFCB}" name="Table3" displayName="Table3" ref="A1:D30" totalsRowShown="0">
  <autoFilter ref="A1:D30" xr:uid="{555162AF-17FD-4BB0-84DD-B6690378BFCB}"/>
  <tableColumns count="4">
    <tableColumn id="1" xr3:uid="{8AECA7A9-902F-4675-99FD-DFE487C1D007}" name="Column1"/>
    <tableColumn id="2" xr3:uid="{42B8FD9E-6F9D-4617-BC8F-6EEEEA9ECF59}" name="Department"/>
    <tableColumn id="3" xr3:uid="{CAB635A0-C46E-4B75-980D-E78F64ADDEFC}" name="Team"/>
    <tableColumn id="4" xr3:uid="{68FD932C-7580-4879-8C35-95C5A6035682}" name="Un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651FA5-7A11-4EA1-9B24-9371836E2339}" name="Table5" displayName="Table5" ref="A4:E79" totalsRowShown="0" headerRowDxfId="17" headerRowBorderDxfId="16" tableBorderDxfId="15" totalsRowBorderDxfId="14">
  <autoFilter ref="A4:E79" xr:uid="{0B651FA5-7A11-4EA1-9B24-9371836E2339}"/>
  <tableColumns count="5">
    <tableColumn id="1" xr3:uid="{E2902479-1899-4FCC-B25D-98CD7AFEBDDC}" name="Cost Voice " dataDxfId="13"/>
    <tableColumn id="2" xr3:uid="{84FE18A6-FBCC-499E-B594-829547627F7B}" name="Item" dataDxfId="12"/>
    <tableColumn id="3" xr3:uid="{8F0EA66D-59B2-48D3-B33A-8841D01FA201}" name="Unit Cost" dataDxfId="11"/>
    <tableColumn id="4" xr3:uid="{87A740EE-5034-4725-AE80-F63B9508B587}" name="Quantity" dataDxfId="10"/>
    <tableColumn id="5" xr3:uid="{73044209-1839-4AA6-9B9F-572E3DD8707E}" name="Total Cost" dataDxfId="9">
      <calculatedColumnFormula>C5*D5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CCFE18-E9CA-4029-B96E-92F82B341970}" name="Table2" displayName="Table2" ref="A4:E30" totalsRowShown="0" headerRowDxfId="8" dataDxfId="6" headerRowBorderDxfId="7" tableBorderDxfId="5">
  <autoFilter ref="A4:E30" xr:uid="{DACCFE18-E9CA-4029-B96E-92F82B341970}"/>
  <tableColumns count="5">
    <tableColumn id="1" xr3:uid="{5F2D114E-8500-4D7B-AC65-F50EBB42297A}" name="Department" dataDxfId="4"/>
    <tableColumn id="2" xr3:uid="{91181418-BB17-49E5-A50D-9BB9441768C3}" name="Office/Team" dataDxfId="3"/>
    <tableColumn id="3" xr3:uid="{5D6FC3AD-16B9-4289-A0C7-036BBFECD74A}" name="Member" dataDxfId="2"/>
    <tableColumn id="4" xr3:uid="{8CC71393-06EB-488E-A4C4-F8C8B693ECE2}" name="No." dataDxfId="1"/>
    <tableColumn id="5" xr3:uid="{45246554-F951-4319-9A7D-CC19C25BC75E}" name="€/Hou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D73AB-5822-43AF-8CB7-0B2BD13BDDA7}">
  <sheetPr>
    <tabColor theme="0"/>
  </sheetPr>
  <dimension ref="A1:BB154"/>
  <sheetViews>
    <sheetView topLeftCell="A3" zoomScale="76" zoomScaleNormal="102" workbookViewId="0">
      <selection activeCell="G12" sqref="G12"/>
    </sheetView>
  </sheetViews>
  <sheetFormatPr defaultColWidth="8.88671875" defaultRowHeight="14.4" x14ac:dyDescent="0.3"/>
  <cols>
    <col min="1" max="1" width="32.6640625" style="55" bestFit="1" customWidth="1"/>
    <col min="2" max="2" width="32.109375" style="55" customWidth="1"/>
    <col min="3" max="3" width="49" style="55" customWidth="1"/>
    <col min="4" max="4" width="49.109375" style="55" customWidth="1"/>
    <col min="5" max="5" width="39.109375" style="139" customWidth="1"/>
    <col min="6" max="6" width="16" style="55" customWidth="1"/>
    <col min="7" max="16384" width="8.88671875" style="55"/>
  </cols>
  <sheetData>
    <row r="1" spans="1:7" x14ac:dyDescent="0.3">
      <c r="A1" t="s">
        <v>0</v>
      </c>
      <c r="B1" t="s">
        <v>1</v>
      </c>
      <c r="C1" t="s">
        <v>2</v>
      </c>
      <c r="D1" t="s">
        <v>3</v>
      </c>
      <c r="E1" s="137" t="s">
        <v>4</v>
      </c>
      <c r="F1" t="s">
        <v>5</v>
      </c>
    </row>
    <row r="2" spans="1:7" s="10" customFormat="1" x14ac:dyDescent="0.3">
      <c r="A2" t="s">
        <v>6</v>
      </c>
      <c r="B2"/>
      <c r="C2"/>
      <c r="D2"/>
      <c r="E2" s="86"/>
      <c r="F2"/>
    </row>
    <row r="3" spans="1:7" x14ac:dyDescent="0.3">
      <c r="A3" t="s">
        <v>558</v>
      </c>
      <c r="B3"/>
      <c r="C3"/>
      <c r="D3"/>
      <c r="E3" s="86"/>
      <c r="F3"/>
    </row>
    <row r="4" spans="1:7" x14ac:dyDescent="0.3">
      <c r="A4"/>
      <c r="B4" t="s">
        <v>559</v>
      </c>
      <c r="C4"/>
      <c r="D4"/>
      <c r="E4" s="86"/>
      <c r="F4"/>
    </row>
    <row r="5" spans="1:7" x14ac:dyDescent="0.3">
      <c r="A5"/>
      <c r="B5"/>
      <c r="C5" t="s">
        <v>7</v>
      </c>
      <c r="D5"/>
      <c r="E5" s="86">
        <v>20000</v>
      </c>
      <c r="F5" t="s">
        <v>8</v>
      </c>
    </row>
    <row r="6" spans="1:7" x14ac:dyDescent="0.3">
      <c r="A6"/>
      <c r="B6"/>
      <c r="C6" t="s">
        <v>9</v>
      </c>
      <c r="D6"/>
      <c r="E6" s="86">
        <v>35000</v>
      </c>
      <c r="F6" t="s">
        <v>10</v>
      </c>
    </row>
    <row r="7" spans="1:7" x14ac:dyDescent="0.3">
      <c r="A7"/>
      <c r="B7"/>
      <c r="C7" t="s">
        <v>11</v>
      </c>
      <c r="D7"/>
      <c r="E7" s="86">
        <v>52400</v>
      </c>
      <c r="F7" t="s">
        <v>12</v>
      </c>
    </row>
    <row r="8" spans="1:7" x14ac:dyDescent="0.3">
      <c r="A8"/>
      <c r="B8" t="s">
        <v>560</v>
      </c>
      <c r="C8"/>
      <c r="D8"/>
      <c r="E8" s="86"/>
      <c r="F8"/>
    </row>
    <row r="9" spans="1:7" x14ac:dyDescent="0.3">
      <c r="A9"/>
      <c r="B9"/>
      <c r="C9" t="s">
        <v>13</v>
      </c>
      <c r="D9"/>
      <c r="E9" s="86">
        <v>60000</v>
      </c>
      <c r="F9" t="s">
        <v>10</v>
      </c>
    </row>
    <row r="10" spans="1:7" x14ac:dyDescent="0.3">
      <c r="A10"/>
      <c r="B10"/>
      <c r="C10" t="s">
        <v>14</v>
      </c>
      <c r="D10"/>
      <c r="E10" s="86">
        <v>20000</v>
      </c>
      <c r="F10" t="s">
        <v>15</v>
      </c>
    </row>
    <row r="11" spans="1:7" x14ac:dyDescent="0.3">
      <c r="A11"/>
      <c r="B11" t="s">
        <v>561</v>
      </c>
      <c r="C11"/>
      <c r="D11"/>
      <c r="E11" s="86">
        <v>175000</v>
      </c>
      <c r="F11" t="s">
        <v>16</v>
      </c>
    </row>
    <row r="12" spans="1:7" x14ac:dyDescent="0.3">
      <c r="A12"/>
      <c r="B12" t="s">
        <v>562</v>
      </c>
      <c r="C12"/>
      <c r="D12"/>
      <c r="E12" s="86">
        <v>200000</v>
      </c>
      <c r="F12" t="s">
        <v>17</v>
      </c>
      <c r="G12" s="132"/>
    </row>
    <row r="13" spans="1:7" x14ac:dyDescent="0.3">
      <c r="A13" t="s">
        <v>563</v>
      </c>
      <c r="B13"/>
      <c r="C13"/>
      <c r="D13"/>
      <c r="E13" s="86"/>
      <c r="F13"/>
    </row>
    <row r="14" spans="1:7" x14ac:dyDescent="0.3">
      <c r="A14"/>
      <c r="B14" t="s">
        <v>18</v>
      </c>
      <c r="C14"/>
      <c r="D14"/>
      <c r="E14" s="86">
        <f>SUM(E16:E24)</f>
        <v>24024</v>
      </c>
      <c r="F14"/>
    </row>
    <row r="15" spans="1:7" x14ac:dyDescent="0.3">
      <c r="A15"/>
      <c r="B15"/>
      <c r="C15" t="s">
        <v>564</v>
      </c>
      <c r="D15"/>
      <c r="E15" s="86"/>
      <c r="F15"/>
    </row>
    <row r="16" spans="1:7" x14ac:dyDescent="0.3">
      <c r="A16"/>
      <c r="B16"/>
      <c r="C16"/>
      <c r="D16" t="s">
        <v>565</v>
      </c>
      <c r="E16" s="86">
        <v>2640</v>
      </c>
      <c r="F16" t="s">
        <v>19</v>
      </c>
    </row>
    <row r="17" spans="1:6" x14ac:dyDescent="0.3">
      <c r="A17"/>
      <c r="B17"/>
      <c r="C17"/>
      <c r="D17" t="s">
        <v>566</v>
      </c>
      <c r="E17" s="86">
        <v>4089</v>
      </c>
      <c r="F17" t="s">
        <v>20</v>
      </c>
    </row>
    <row r="18" spans="1:6" x14ac:dyDescent="0.3">
      <c r="A18"/>
      <c r="B18"/>
      <c r="C18" t="s">
        <v>567</v>
      </c>
      <c r="D18"/>
      <c r="E18" s="86"/>
      <c r="F18"/>
    </row>
    <row r="19" spans="1:6" x14ac:dyDescent="0.3">
      <c r="A19"/>
      <c r="B19"/>
      <c r="C19"/>
      <c r="D19" t="s">
        <v>568</v>
      </c>
      <c r="E19" s="86">
        <v>2178</v>
      </c>
      <c r="F19" t="s">
        <v>21</v>
      </c>
    </row>
    <row r="20" spans="1:6" x14ac:dyDescent="0.3">
      <c r="A20"/>
      <c r="B20"/>
      <c r="C20"/>
      <c r="D20" t="s">
        <v>569</v>
      </c>
      <c r="E20" s="86">
        <v>2904</v>
      </c>
      <c r="F20" t="s">
        <v>8</v>
      </c>
    </row>
    <row r="21" spans="1:6" x14ac:dyDescent="0.3">
      <c r="A21"/>
      <c r="B21"/>
      <c r="C21" t="s">
        <v>570</v>
      </c>
      <c r="D21"/>
      <c r="E21" s="86">
        <v>1742</v>
      </c>
      <c r="F21" t="s">
        <v>22</v>
      </c>
    </row>
    <row r="22" spans="1:6" s="10" customFormat="1" x14ac:dyDescent="0.3">
      <c r="A22"/>
      <c r="B22"/>
      <c r="C22" t="s">
        <v>23</v>
      </c>
      <c r="D22"/>
      <c r="E22" s="86">
        <v>9600</v>
      </c>
      <c r="F22" t="s">
        <v>22</v>
      </c>
    </row>
    <row r="23" spans="1:6" x14ac:dyDescent="0.3">
      <c r="A23"/>
      <c r="B23"/>
      <c r="C23" t="s">
        <v>571</v>
      </c>
      <c r="D23"/>
      <c r="E23" s="86">
        <v>871</v>
      </c>
      <c r="F23" t="s">
        <v>24</v>
      </c>
    </row>
    <row r="24" spans="1:6" x14ac:dyDescent="0.3">
      <c r="A24"/>
      <c r="B24" t="s">
        <v>25</v>
      </c>
      <c r="C24"/>
      <c r="D24"/>
      <c r="E24" s="86"/>
      <c r="F24"/>
    </row>
    <row r="25" spans="1:6" x14ac:dyDescent="0.3">
      <c r="A25"/>
      <c r="B25"/>
      <c r="C25" t="s">
        <v>587</v>
      </c>
      <c r="D25"/>
      <c r="E25" s="86"/>
      <c r="F25"/>
    </row>
    <row r="26" spans="1:6" s="10" customFormat="1" x14ac:dyDescent="0.3">
      <c r="A26"/>
      <c r="B26"/>
      <c r="C26"/>
      <c r="D26" t="s">
        <v>572</v>
      </c>
      <c r="E26" s="86">
        <v>3840</v>
      </c>
      <c r="F26" t="s">
        <v>26</v>
      </c>
    </row>
    <row r="27" spans="1:6" x14ac:dyDescent="0.3">
      <c r="A27"/>
      <c r="B27"/>
      <c r="C27"/>
      <c r="D27" t="s">
        <v>573</v>
      </c>
      <c r="E27" s="86">
        <v>3072</v>
      </c>
      <c r="F27" t="s">
        <v>12</v>
      </c>
    </row>
    <row r="28" spans="1:6" x14ac:dyDescent="0.3">
      <c r="A28"/>
      <c r="B28"/>
      <c r="C28" t="s">
        <v>574</v>
      </c>
      <c r="D28"/>
      <c r="E28" s="86">
        <v>1536</v>
      </c>
      <c r="F28" t="s">
        <v>22</v>
      </c>
    </row>
    <row r="29" spans="1:6" x14ac:dyDescent="0.3">
      <c r="A29"/>
      <c r="B29"/>
      <c r="C29" t="s">
        <v>27</v>
      </c>
      <c r="D29" t="s">
        <v>588</v>
      </c>
      <c r="E29" s="86">
        <v>27560</v>
      </c>
      <c r="F29" t="s">
        <v>12</v>
      </c>
    </row>
    <row r="30" spans="1:6" x14ac:dyDescent="0.3">
      <c r="A30"/>
      <c r="B30"/>
      <c r="C30"/>
      <c r="D30" t="s">
        <v>589</v>
      </c>
      <c r="E30" s="86">
        <v>2550</v>
      </c>
      <c r="F30" t="s">
        <v>8</v>
      </c>
    </row>
    <row r="31" spans="1:6" x14ac:dyDescent="0.3">
      <c r="A31"/>
      <c r="B31"/>
      <c r="C31" t="s">
        <v>28</v>
      </c>
      <c r="D31"/>
      <c r="E31" s="86">
        <v>5040</v>
      </c>
      <c r="F31" t="s">
        <v>29</v>
      </c>
    </row>
    <row r="32" spans="1:6" ht="33.75" customHeight="1" x14ac:dyDescent="0.3">
      <c r="A32"/>
      <c r="B32"/>
      <c r="C32" t="s">
        <v>30</v>
      </c>
      <c r="D32"/>
      <c r="E32" s="86">
        <v>9600</v>
      </c>
      <c r="F32" t="s">
        <v>22</v>
      </c>
    </row>
    <row r="33" spans="1:6" x14ac:dyDescent="0.3">
      <c r="A33"/>
      <c r="B33"/>
      <c r="C33" t="s">
        <v>590</v>
      </c>
      <c r="D33"/>
      <c r="E33" s="86">
        <v>2376</v>
      </c>
      <c r="F33" t="s">
        <v>19</v>
      </c>
    </row>
    <row r="34" spans="1:6" x14ac:dyDescent="0.3">
      <c r="A34" t="s">
        <v>31</v>
      </c>
      <c r="B34"/>
      <c r="C34"/>
      <c r="D34"/>
      <c r="E34" s="86"/>
      <c r="F34"/>
    </row>
    <row r="35" spans="1:6" x14ac:dyDescent="0.3">
      <c r="A35"/>
      <c r="B35" t="s">
        <v>575</v>
      </c>
      <c r="C35"/>
      <c r="D35"/>
      <c r="E35" s="86"/>
      <c r="F35"/>
    </row>
    <row r="36" spans="1:6" x14ac:dyDescent="0.3">
      <c r="A36"/>
      <c r="B36"/>
      <c r="C36" t="s">
        <v>576</v>
      </c>
      <c r="D36"/>
      <c r="E36" s="86">
        <v>5700</v>
      </c>
      <c r="F36" t="s">
        <v>26</v>
      </c>
    </row>
    <row r="37" spans="1:6" x14ac:dyDescent="0.3">
      <c r="A37"/>
      <c r="B37"/>
      <c r="C37" t="s">
        <v>577</v>
      </c>
      <c r="D37"/>
      <c r="E37" s="86">
        <v>9062</v>
      </c>
      <c r="F37" t="s">
        <v>12</v>
      </c>
    </row>
    <row r="38" spans="1:6" x14ac:dyDescent="0.3">
      <c r="A38"/>
      <c r="B38" t="s">
        <v>32</v>
      </c>
      <c r="C38"/>
      <c r="D38"/>
      <c r="E38" s="86"/>
      <c r="F38"/>
    </row>
    <row r="39" spans="1:6" s="10" customFormat="1" x14ac:dyDescent="0.3">
      <c r="A39"/>
      <c r="B39"/>
      <c r="C39" t="s">
        <v>578</v>
      </c>
      <c r="D39"/>
      <c r="E39" s="86">
        <v>5700</v>
      </c>
      <c r="F39" t="s">
        <v>26</v>
      </c>
    </row>
    <row r="40" spans="1:6" x14ac:dyDescent="0.3">
      <c r="A40"/>
      <c r="B40"/>
      <c r="C40" t="s">
        <v>579</v>
      </c>
      <c r="D40"/>
      <c r="E40" s="86">
        <v>9600</v>
      </c>
      <c r="F40" t="s">
        <v>22</v>
      </c>
    </row>
    <row r="41" spans="1:6" s="10" customFormat="1" x14ac:dyDescent="0.3">
      <c r="A41"/>
      <c r="B41" t="s">
        <v>33</v>
      </c>
      <c r="C41"/>
      <c r="D41"/>
      <c r="E41" s="86">
        <v>1840</v>
      </c>
      <c r="F41" t="s">
        <v>15</v>
      </c>
    </row>
    <row r="42" spans="1:6" x14ac:dyDescent="0.3">
      <c r="A42" t="s">
        <v>591</v>
      </c>
      <c r="B42"/>
      <c r="C42"/>
      <c r="D42"/>
      <c r="E42" s="86"/>
      <c r="F42"/>
    </row>
    <row r="43" spans="1:6" x14ac:dyDescent="0.3">
      <c r="A43"/>
      <c r="B43" t="s">
        <v>34</v>
      </c>
      <c r="C43"/>
      <c r="D43"/>
      <c r="E43" s="86"/>
      <c r="F43"/>
    </row>
    <row r="44" spans="1:6" x14ac:dyDescent="0.3">
      <c r="A44"/>
      <c r="B44"/>
      <c r="C44" s="140" t="s">
        <v>35</v>
      </c>
      <c r="D44"/>
      <c r="E44" s="86">
        <v>200000</v>
      </c>
      <c r="F44" t="s">
        <v>36</v>
      </c>
    </row>
    <row r="45" spans="1:6" x14ac:dyDescent="0.3">
      <c r="A45"/>
      <c r="B45"/>
      <c r="C45" s="140" t="s">
        <v>592</v>
      </c>
      <c r="D45"/>
      <c r="E45" s="86">
        <v>3400</v>
      </c>
      <c r="F45" t="s">
        <v>8</v>
      </c>
    </row>
    <row r="46" spans="1:6" x14ac:dyDescent="0.3">
      <c r="A46"/>
      <c r="B46"/>
      <c r="C46" s="140" t="s">
        <v>593</v>
      </c>
      <c r="D46"/>
      <c r="E46" s="86"/>
      <c r="F46"/>
    </row>
    <row r="47" spans="1:6" x14ac:dyDescent="0.3">
      <c r="A47"/>
      <c r="B47"/>
      <c r="C47"/>
      <c r="D47" s="140" t="s">
        <v>594</v>
      </c>
      <c r="E47" s="86">
        <v>8000</v>
      </c>
      <c r="F47" t="s">
        <v>37</v>
      </c>
    </row>
    <row r="48" spans="1:6" x14ac:dyDescent="0.3">
      <c r="A48"/>
      <c r="B48"/>
      <c r="C48"/>
      <c r="D48" s="140" t="s">
        <v>595</v>
      </c>
      <c r="E48" s="86">
        <v>12800</v>
      </c>
      <c r="F48" t="s">
        <v>38</v>
      </c>
    </row>
    <row r="49" spans="1:6" x14ac:dyDescent="0.3">
      <c r="A49"/>
      <c r="B49"/>
      <c r="C49"/>
      <c r="D49" s="140" t="s">
        <v>596</v>
      </c>
      <c r="E49" s="86">
        <v>12800</v>
      </c>
      <c r="F49" t="s">
        <v>38</v>
      </c>
    </row>
    <row r="50" spans="1:6" x14ac:dyDescent="0.3">
      <c r="A50"/>
      <c r="B50" s="140" t="s">
        <v>597</v>
      </c>
      <c r="C50"/>
      <c r="D50"/>
      <c r="E50" s="86"/>
      <c r="F50"/>
    </row>
    <row r="51" spans="1:6" x14ac:dyDescent="0.3">
      <c r="A51"/>
      <c r="B51"/>
      <c r="C51" s="140" t="s">
        <v>598</v>
      </c>
      <c r="D51"/>
      <c r="E51" s="86"/>
      <c r="F51"/>
    </row>
    <row r="52" spans="1:6" ht="14.25" customHeight="1" x14ac:dyDescent="0.3">
      <c r="A52"/>
      <c r="B52"/>
      <c r="C52"/>
      <c r="D52" s="140" t="s">
        <v>599</v>
      </c>
      <c r="E52" s="86">
        <v>38000</v>
      </c>
      <c r="F52" t="s">
        <v>39</v>
      </c>
    </row>
    <row r="53" spans="1:6" x14ac:dyDescent="0.3">
      <c r="A53"/>
      <c r="B53"/>
      <c r="C53"/>
      <c r="D53" s="140" t="s">
        <v>600</v>
      </c>
      <c r="E53" s="86">
        <v>38000</v>
      </c>
      <c r="F53" t="s">
        <v>39</v>
      </c>
    </row>
    <row r="54" spans="1:6" x14ac:dyDescent="0.3">
      <c r="A54"/>
      <c r="B54"/>
      <c r="C54" s="140" t="s">
        <v>40</v>
      </c>
      <c r="D54"/>
      <c r="E54" s="86"/>
      <c r="F54"/>
    </row>
    <row r="55" spans="1:6" x14ac:dyDescent="0.3">
      <c r="A55"/>
      <c r="B55"/>
      <c r="C55"/>
      <c r="D55" t="s">
        <v>601</v>
      </c>
      <c r="E55" s="86">
        <v>24300</v>
      </c>
      <c r="F55" t="s">
        <v>26</v>
      </c>
    </row>
    <row r="56" spans="1:6" x14ac:dyDescent="0.3">
      <c r="A56"/>
      <c r="B56"/>
      <c r="C56"/>
      <c r="D56" t="s">
        <v>602</v>
      </c>
      <c r="E56" s="86">
        <v>24300</v>
      </c>
      <c r="F56" t="s">
        <v>26</v>
      </c>
    </row>
    <row r="57" spans="1:6" x14ac:dyDescent="0.3">
      <c r="A57"/>
      <c r="B57"/>
      <c r="C57"/>
      <c r="D57" t="s">
        <v>603</v>
      </c>
      <c r="E57" s="86">
        <v>24300</v>
      </c>
      <c r="F57" t="s">
        <v>26</v>
      </c>
    </row>
    <row r="58" spans="1:6" x14ac:dyDescent="0.3">
      <c r="A58"/>
      <c r="B58"/>
      <c r="C58"/>
      <c r="D58" t="s">
        <v>604</v>
      </c>
      <c r="E58" s="86">
        <v>24300</v>
      </c>
      <c r="F58" t="s">
        <v>26</v>
      </c>
    </row>
    <row r="59" spans="1:6" x14ac:dyDescent="0.3">
      <c r="A59"/>
      <c r="B59"/>
      <c r="C59" t="s">
        <v>41</v>
      </c>
      <c r="D59"/>
      <c r="E59" s="86"/>
      <c r="F59"/>
    </row>
    <row r="60" spans="1:6" x14ac:dyDescent="0.3">
      <c r="A60"/>
      <c r="B60"/>
      <c r="C60"/>
      <c r="D60" t="s">
        <v>605</v>
      </c>
      <c r="E60" s="86">
        <v>8300</v>
      </c>
      <c r="F60" t="s">
        <v>24</v>
      </c>
    </row>
    <row r="61" spans="1:6" x14ac:dyDescent="0.3">
      <c r="A61"/>
      <c r="B61"/>
      <c r="C61"/>
      <c r="D61" t="s">
        <v>606</v>
      </c>
      <c r="E61" s="86">
        <v>7720</v>
      </c>
      <c r="F61" t="s">
        <v>22</v>
      </c>
    </row>
    <row r="62" spans="1:6" x14ac:dyDescent="0.3">
      <c r="A62"/>
      <c r="B62"/>
      <c r="C62"/>
      <c r="D62" t="s">
        <v>607</v>
      </c>
      <c r="E62" s="86">
        <v>8360</v>
      </c>
      <c r="F62" t="s">
        <v>24</v>
      </c>
    </row>
    <row r="63" spans="1:6" x14ac:dyDescent="0.3">
      <c r="A63"/>
      <c r="B63"/>
      <c r="C63"/>
      <c r="D63" t="s">
        <v>608</v>
      </c>
      <c r="E63" s="86">
        <v>7720</v>
      </c>
      <c r="F63" t="s">
        <v>22</v>
      </c>
    </row>
    <row r="64" spans="1:6" x14ac:dyDescent="0.3">
      <c r="A64"/>
      <c r="B64"/>
      <c r="C64"/>
      <c r="D64" t="s">
        <v>609</v>
      </c>
      <c r="E64" s="86">
        <v>7560</v>
      </c>
      <c r="F64" t="s">
        <v>24</v>
      </c>
    </row>
    <row r="65" spans="1:54" x14ac:dyDescent="0.3">
      <c r="A65" t="s">
        <v>42</v>
      </c>
      <c r="B65"/>
      <c r="C65"/>
      <c r="D65"/>
      <c r="E65" s="86"/>
      <c r="F65"/>
    </row>
    <row r="66" spans="1:54" x14ac:dyDescent="0.3">
      <c r="A66"/>
      <c r="B66" t="s">
        <v>43</v>
      </c>
      <c r="C66"/>
      <c r="D66"/>
      <c r="E66" s="86">
        <v>1248000</v>
      </c>
      <c r="F66" t="s">
        <v>44</v>
      </c>
    </row>
    <row r="67" spans="1:54" s="10" customFormat="1" x14ac:dyDescent="0.3">
      <c r="A67"/>
      <c r="B67" t="s">
        <v>45</v>
      </c>
      <c r="C67"/>
      <c r="D67"/>
      <c r="E67" s="86">
        <v>350000</v>
      </c>
      <c r="F67" t="s">
        <v>44</v>
      </c>
    </row>
    <row r="68" spans="1:54" x14ac:dyDescent="0.3">
      <c r="A68"/>
      <c r="B68" t="s">
        <v>610</v>
      </c>
      <c r="C68"/>
      <c r="D68"/>
      <c r="E68" s="86">
        <v>14000</v>
      </c>
      <c r="F68" t="s">
        <v>44</v>
      </c>
    </row>
    <row r="69" spans="1:54" s="10" customFormat="1" x14ac:dyDescent="0.3">
      <c r="A69" t="s">
        <v>46</v>
      </c>
      <c r="B69"/>
      <c r="C69"/>
      <c r="D69"/>
      <c r="E69" s="86" t="s">
        <v>47</v>
      </c>
      <c r="F69"/>
    </row>
    <row r="70" spans="1:54" x14ac:dyDescent="0.3">
      <c r="A70"/>
      <c r="B70" t="s">
        <v>611</v>
      </c>
      <c r="C70"/>
      <c r="D70"/>
      <c r="E70" s="86" t="s">
        <v>48</v>
      </c>
      <c r="F70"/>
    </row>
    <row r="71" spans="1:54" s="10" customFormat="1" x14ac:dyDescent="0.3">
      <c r="A71"/>
      <c r="B71"/>
      <c r="C71" t="s">
        <v>49</v>
      </c>
      <c r="D71"/>
      <c r="E71" s="86">
        <v>2303660</v>
      </c>
      <c r="F71" t="s">
        <v>12</v>
      </c>
    </row>
    <row r="72" spans="1:54" s="133" customFormat="1" x14ac:dyDescent="0.3">
      <c r="A72"/>
      <c r="B72"/>
      <c r="C72" t="s">
        <v>50</v>
      </c>
      <c r="D72"/>
      <c r="E72" s="86">
        <v>2301220</v>
      </c>
      <c r="F72" t="s">
        <v>51</v>
      </c>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row>
    <row r="73" spans="1:54" x14ac:dyDescent="0.3">
      <c r="A73"/>
      <c r="B73"/>
      <c r="C73" t="s">
        <v>52</v>
      </c>
      <c r="D73"/>
      <c r="E73" s="86">
        <v>2301220</v>
      </c>
      <c r="F73" t="s">
        <v>51</v>
      </c>
    </row>
    <row r="74" spans="1:54" x14ac:dyDescent="0.3">
      <c r="A74"/>
      <c r="B74"/>
      <c r="C74" t="s">
        <v>53</v>
      </c>
      <c r="D74"/>
      <c r="E74" s="86">
        <v>2301220</v>
      </c>
      <c r="F74" t="s">
        <v>51</v>
      </c>
    </row>
    <row r="75" spans="1:54" x14ac:dyDescent="0.3">
      <c r="A75"/>
      <c r="B75"/>
      <c r="C75" t="s">
        <v>54</v>
      </c>
      <c r="D75"/>
      <c r="E75" s="86">
        <v>2301220</v>
      </c>
      <c r="F75" t="s">
        <v>51</v>
      </c>
    </row>
    <row r="76" spans="1:54" x14ac:dyDescent="0.3">
      <c r="A76"/>
      <c r="B76"/>
      <c r="C76" t="s">
        <v>55</v>
      </c>
      <c r="D76"/>
      <c r="E76" s="86">
        <v>2301220</v>
      </c>
      <c r="F76" t="s">
        <v>51</v>
      </c>
    </row>
    <row r="77" spans="1:54" x14ac:dyDescent="0.3">
      <c r="A77"/>
      <c r="B77"/>
      <c r="C77" t="s">
        <v>56</v>
      </c>
      <c r="D77"/>
      <c r="E77" s="86">
        <v>2301220</v>
      </c>
      <c r="F77" t="s">
        <v>51</v>
      </c>
    </row>
    <row r="78" spans="1:54" x14ac:dyDescent="0.3">
      <c r="A78"/>
      <c r="B78"/>
      <c r="C78" t="s">
        <v>57</v>
      </c>
      <c r="D78"/>
      <c r="E78" s="86">
        <v>2301220</v>
      </c>
      <c r="F78" t="s">
        <v>51</v>
      </c>
    </row>
    <row r="79" spans="1:54" x14ac:dyDescent="0.3">
      <c r="A79"/>
      <c r="B79" t="s">
        <v>58</v>
      </c>
      <c r="C79"/>
      <c r="D79"/>
      <c r="E79" s="86" t="s">
        <v>59</v>
      </c>
      <c r="F79" t="s">
        <v>60</v>
      </c>
    </row>
    <row r="80" spans="1:54" x14ac:dyDescent="0.3">
      <c r="A80"/>
      <c r="B80"/>
      <c r="C80" t="s">
        <v>612</v>
      </c>
      <c r="D80"/>
      <c r="E80" s="86">
        <v>1250000</v>
      </c>
      <c r="F80" t="s">
        <v>61</v>
      </c>
    </row>
    <row r="81" spans="1:6" x14ac:dyDescent="0.3">
      <c r="A81"/>
      <c r="B81"/>
      <c r="C81" t="s">
        <v>613</v>
      </c>
      <c r="D81"/>
      <c r="E81" s="86">
        <v>1250000</v>
      </c>
      <c r="F81" t="s">
        <v>61</v>
      </c>
    </row>
    <row r="82" spans="1:6" x14ac:dyDescent="0.3">
      <c r="A82"/>
      <c r="B82"/>
      <c r="C82" t="s">
        <v>614</v>
      </c>
      <c r="D82"/>
      <c r="E82" s="86">
        <v>1250000</v>
      </c>
      <c r="F82" t="s">
        <v>61</v>
      </c>
    </row>
    <row r="83" spans="1:6" s="10" customFormat="1" x14ac:dyDescent="0.3">
      <c r="A83"/>
      <c r="B83"/>
      <c r="C83" t="s">
        <v>615</v>
      </c>
      <c r="D83"/>
      <c r="E83" s="86">
        <v>1250000</v>
      </c>
      <c r="F83" t="s">
        <v>61</v>
      </c>
    </row>
    <row r="84" spans="1:6" x14ac:dyDescent="0.3">
      <c r="A84"/>
      <c r="B84"/>
      <c r="C84" t="s">
        <v>616</v>
      </c>
      <c r="D84"/>
      <c r="E84" s="86">
        <v>1250000</v>
      </c>
      <c r="F84" t="s">
        <v>61</v>
      </c>
    </row>
    <row r="85" spans="1:6" x14ac:dyDescent="0.3">
      <c r="A85"/>
      <c r="B85"/>
      <c r="C85" t="s">
        <v>617</v>
      </c>
      <c r="D85"/>
      <c r="E85" s="86">
        <v>1250000</v>
      </c>
      <c r="F85" t="s">
        <v>61</v>
      </c>
    </row>
    <row r="86" spans="1:6" x14ac:dyDescent="0.3">
      <c r="A86"/>
      <c r="B86"/>
      <c r="C86" t="s">
        <v>618</v>
      </c>
      <c r="D86"/>
      <c r="E86" s="86">
        <v>1250000</v>
      </c>
      <c r="F86" t="s">
        <v>61</v>
      </c>
    </row>
    <row r="87" spans="1:6" x14ac:dyDescent="0.3">
      <c r="A87"/>
      <c r="B87"/>
      <c r="C87" t="s">
        <v>619</v>
      </c>
      <c r="D87"/>
      <c r="E87" s="86">
        <v>1250000</v>
      </c>
      <c r="F87" t="s">
        <v>61</v>
      </c>
    </row>
    <row r="88" spans="1:6" x14ac:dyDescent="0.3">
      <c r="A88" t="s">
        <v>620</v>
      </c>
      <c r="B88"/>
      <c r="C88"/>
      <c r="D88"/>
      <c r="E88" s="86"/>
      <c r="F88"/>
    </row>
    <row r="89" spans="1:6" x14ac:dyDescent="0.3">
      <c r="A89"/>
      <c r="B89" t="s">
        <v>621</v>
      </c>
      <c r="C89"/>
      <c r="D89"/>
      <c r="E89" s="86"/>
      <c r="F89"/>
    </row>
    <row r="90" spans="1:6" x14ac:dyDescent="0.3">
      <c r="A90"/>
      <c r="B90"/>
      <c r="C90" t="s">
        <v>622</v>
      </c>
      <c r="D90"/>
      <c r="E90" s="86">
        <v>318600</v>
      </c>
      <c r="F90" t="s">
        <v>62</v>
      </c>
    </row>
    <row r="91" spans="1:6" x14ac:dyDescent="0.3">
      <c r="A91"/>
      <c r="B91"/>
      <c r="C91" t="s">
        <v>623</v>
      </c>
      <c r="D91"/>
      <c r="E91" s="86">
        <v>364100</v>
      </c>
      <c r="F91" t="s">
        <v>63</v>
      </c>
    </row>
    <row r="92" spans="1:6" x14ac:dyDescent="0.3">
      <c r="A92"/>
      <c r="B92"/>
      <c r="C92" t="s">
        <v>624</v>
      </c>
      <c r="D92"/>
      <c r="E92" s="86">
        <v>75000</v>
      </c>
      <c r="F92" t="s">
        <v>64</v>
      </c>
    </row>
    <row r="93" spans="1:6" x14ac:dyDescent="0.3">
      <c r="A93"/>
      <c r="B93" t="s">
        <v>65</v>
      </c>
      <c r="C93"/>
      <c r="D93"/>
      <c r="E93" s="86"/>
      <c r="F93"/>
    </row>
    <row r="94" spans="1:6" x14ac:dyDescent="0.3">
      <c r="A94"/>
      <c r="B94"/>
      <c r="C94" t="s">
        <v>66</v>
      </c>
      <c r="D94"/>
      <c r="E94" s="86">
        <v>5940000</v>
      </c>
      <c r="F94" t="s">
        <v>67</v>
      </c>
    </row>
    <row r="95" spans="1:6" x14ac:dyDescent="0.3">
      <c r="A95"/>
      <c r="B95"/>
      <c r="C95" t="s">
        <v>68</v>
      </c>
      <c r="D95"/>
      <c r="E95" s="86">
        <v>20000</v>
      </c>
      <c r="F95" t="s">
        <v>69</v>
      </c>
    </row>
    <row r="96" spans="1:6" x14ac:dyDescent="0.3">
      <c r="A96"/>
      <c r="B96"/>
      <c r="C96" t="s">
        <v>70</v>
      </c>
      <c r="D96"/>
      <c r="E96" s="86">
        <v>20000</v>
      </c>
      <c r="F96" t="s">
        <v>29</v>
      </c>
    </row>
    <row r="97" spans="1:54" x14ac:dyDescent="0.3">
      <c r="A97"/>
      <c r="B97"/>
      <c r="C97" t="s">
        <v>71</v>
      </c>
      <c r="D97"/>
      <c r="E97" s="86">
        <v>20000</v>
      </c>
      <c r="F97" t="s">
        <v>12</v>
      </c>
      <c r="J97" s="134"/>
    </row>
    <row r="98" spans="1:54" x14ac:dyDescent="0.3">
      <c r="A98"/>
      <c r="B98" t="s">
        <v>72</v>
      </c>
      <c r="C98"/>
      <c r="D98"/>
      <c r="E98" s="86"/>
      <c r="F98"/>
    </row>
    <row r="99" spans="1:54" x14ac:dyDescent="0.3">
      <c r="A99"/>
      <c r="B99"/>
      <c r="C99" t="s">
        <v>625</v>
      </c>
      <c r="D99"/>
      <c r="E99" s="86">
        <v>403000</v>
      </c>
      <c r="F99" t="s">
        <v>26</v>
      </c>
    </row>
    <row r="100" spans="1:54" s="10" customFormat="1" x14ac:dyDescent="0.3">
      <c r="A100"/>
      <c r="B100"/>
      <c r="C100" t="s">
        <v>626</v>
      </c>
      <c r="D100"/>
      <c r="E100" s="86">
        <v>60000</v>
      </c>
      <c r="F100" t="s">
        <v>73</v>
      </c>
    </row>
    <row r="101" spans="1:54" x14ac:dyDescent="0.3">
      <c r="A101"/>
      <c r="B101"/>
      <c r="C101" t="s">
        <v>627</v>
      </c>
      <c r="D101"/>
      <c r="E101" s="86">
        <v>72000</v>
      </c>
      <c r="F101" t="s">
        <v>69</v>
      </c>
    </row>
    <row r="102" spans="1:54" x14ac:dyDescent="0.3">
      <c r="A102"/>
      <c r="B102"/>
      <c r="C102" t="s">
        <v>628</v>
      </c>
      <c r="D102"/>
      <c r="E102" s="86">
        <v>60000</v>
      </c>
      <c r="F102" t="s">
        <v>74</v>
      </c>
    </row>
    <row r="103" spans="1:54" x14ac:dyDescent="0.3">
      <c r="A103"/>
      <c r="B103"/>
      <c r="C103" t="s">
        <v>629</v>
      </c>
      <c r="D103"/>
      <c r="E103" s="86">
        <v>500000</v>
      </c>
      <c r="F103" t="s">
        <v>15</v>
      </c>
    </row>
    <row r="104" spans="1:54" s="10" customFormat="1" x14ac:dyDescent="0.3">
      <c r="A104"/>
      <c r="B104"/>
      <c r="C104" t="s">
        <v>630</v>
      </c>
      <c r="D104"/>
      <c r="E104" s="86">
        <v>120000</v>
      </c>
      <c r="F104" t="s">
        <v>73</v>
      </c>
    </row>
    <row r="105" spans="1:54" s="10" customFormat="1" x14ac:dyDescent="0.3">
      <c r="A105"/>
      <c r="B105"/>
      <c r="C105" t="s">
        <v>631</v>
      </c>
      <c r="D105"/>
      <c r="E105" s="86">
        <v>25000</v>
      </c>
      <c r="F105" t="s">
        <v>8</v>
      </c>
    </row>
    <row r="106" spans="1:54" x14ac:dyDescent="0.3">
      <c r="A106"/>
      <c r="B106"/>
      <c r="C106" t="s">
        <v>632</v>
      </c>
      <c r="D106"/>
      <c r="E106" s="86">
        <v>352000</v>
      </c>
      <c r="F106" t="s">
        <v>15</v>
      </c>
    </row>
    <row r="107" spans="1:54" x14ac:dyDescent="0.3">
      <c r="A107"/>
      <c r="B107"/>
      <c r="C107" t="s">
        <v>633</v>
      </c>
      <c r="D107"/>
      <c r="E107" s="86">
        <v>11000</v>
      </c>
      <c r="F107" t="s">
        <v>10</v>
      </c>
    </row>
    <row r="108" spans="1:54" x14ac:dyDescent="0.3">
      <c r="A108"/>
      <c r="B108"/>
      <c r="C108" t="s">
        <v>75</v>
      </c>
      <c r="D108"/>
      <c r="E108" s="86">
        <v>6000</v>
      </c>
      <c r="F108" t="s">
        <v>8</v>
      </c>
    </row>
    <row r="109" spans="1:54" x14ac:dyDescent="0.3">
      <c r="A109"/>
      <c r="B109"/>
      <c r="C109" t="s">
        <v>634</v>
      </c>
      <c r="D109"/>
      <c r="E109" s="86">
        <v>241000</v>
      </c>
      <c r="F109" t="s">
        <v>76</v>
      </c>
    </row>
    <row r="110" spans="1:54" s="133" customFormat="1" x14ac:dyDescent="0.3">
      <c r="A110"/>
      <c r="B110" t="s">
        <v>635</v>
      </c>
      <c r="C110"/>
      <c r="D110" t="s">
        <v>77</v>
      </c>
      <c r="E110" s="86"/>
      <c r="F110"/>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row>
    <row r="111" spans="1:54" x14ac:dyDescent="0.3">
      <c r="A111"/>
      <c r="B111"/>
      <c r="C111" t="s">
        <v>636</v>
      </c>
      <c r="D111"/>
      <c r="E111" s="86">
        <v>16000</v>
      </c>
      <c r="F111" t="s">
        <v>8</v>
      </c>
      <c r="G111" s="132"/>
    </row>
    <row r="112" spans="1:54" x14ac:dyDescent="0.3">
      <c r="A112"/>
      <c r="B112"/>
      <c r="C112" t="s">
        <v>637</v>
      </c>
      <c r="D112"/>
      <c r="E112" s="86">
        <v>31000</v>
      </c>
      <c r="F112" t="s">
        <v>26</v>
      </c>
    </row>
    <row r="113" spans="1:6" x14ac:dyDescent="0.3">
      <c r="A113"/>
      <c r="B113"/>
      <c r="C113" t="s">
        <v>638</v>
      </c>
      <c r="D113"/>
      <c r="E113" s="86">
        <v>44000</v>
      </c>
      <c r="F113" t="s">
        <v>8</v>
      </c>
    </row>
    <row r="114" spans="1:6" x14ac:dyDescent="0.3">
      <c r="A114"/>
      <c r="B114"/>
      <c r="C114" t="s">
        <v>639</v>
      </c>
      <c r="D114"/>
      <c r="E114" s="86">
        <v>6500</v>
      </c>
      <c r="F114" t="s">
        <v>15</v>
      </c>
    </row>
    <row r="115" spans="1:6" x14ac:dyDescent="0.3">
      <c r="A115"/>
      <c r="B115"/>
      <c r="C115" t="s">
        <v>640</v>
      </c>
      <c r="D115"/>
      <c r="E115" s="86">
        <v>12500</v>
      </c>
      <c r="F115" t="s">
        <v>22</v>
      </c>
    </row>
    <row r="116" spans="1:6" x14ac:dyDescent="0.3">
      <c r="A116"/>
      <c r="B116"/>
      <c r="C116" t="s">
        <v>641</v>
      </c>
      <c r="D116"/>
      <c r="E116" s="86">
        <v>3000</v>
      </c>
      <c r="F116" t="s">
        <v>22</v>
      </c>
    </row>
    <row r="117" spans="1:6" x14ac:dyDescent="0.3">
      <c r="A117" t="s">
        <v>642</v>
      </c>
      <c r="B117"/>
      <c r="C117"/>
      <c r="D117"/>
      <c r="E117" s="86"/>
      <c r="F117"/>
    </row>
    <row r="118" spans="1:6" x14ac:dyDescent="0.3">
      <c r="A118"/>
      <c r="B118" t="s">
        <v>643</v>
      </c>
      <c r="C118"/>
      <c r="D118"/>
      <c r="E118" s="86"/>
      <c r="F118"/>
    </row>
    <row r="119" spans="1:6" x14ac:dyDescent="0.3">
      <c r="A119"/>
      <c r="B119"/>
      <c r="C119" t="s">
        <v>644</v>
      </c>
      <c r="D119"/>
      <c r="E119" s="86">
        <v>37000</v>
      </c>
      <c r="F119" t="s">
        <v>8</v>
      </c>
    </row>
    <row r="120" spans="1:6" x14ac:dyDescent="0.3">
      <c r="A120"/>
      <c r="B120"/>
      <c r="C120" t="s">
        <v>645</v>
      </c>
      <c r="D120"/>
      <c r="E120" s="86">
        <v>10000</v>
      </c>
      <c r="F120" t="s">
        <v>76</v>
      </c>
    </row>
    <row r="121" spans="1:6" x14ac:dyDescent="0.3">
      <c r="A121"/>
      <c r="B121" t="s">
        <v>78</v>
      </c>
      <c r="C121"/>
      <c r="D121"/>
      <c r="E121" s="86"/>
      <c r="F121"/>
    </row>
    <row r="122" spans="1:6" x14ac:dyDescent="0.3">
      <c r="A122"/>
      <c r="B122"/>
      <c r="C122" t="s">
        <v>646</v>
      </c>
      <c r="D122"/>
      <c r="E122" s="86">
        <v>10000</v>
      </c>
      <c r="F122" t="s">
        <v>79</v>
      </c>
    </row>
    <row r="123" spans="1:6" x14ac:dyDescent="0.3">
      <c r="A123"/>
      <c r="B123"/>
      <c r="C123" t="s">
        <v>647</v>
      </c>
      <c r="D123"/>
      <c r="E123" s="86">
        <v>1000</v>
      </c>
      <c r="F123" t="s">
        <v>80</v>
      </c>
    </row>
    <row r="124" spans="1:6" x14ac:dyDescent="0.3">
      <c r="A124"/>
      <c r="B124"/>
      <c r="C124" t="s">
        <v>648</v>
      </c>
      <c r="D124"/>
      <c r="E124" s="86">
        <v>16200</v>
      </c>
      <c r="F124" t="s">
        <v>81</v>
      </c>
    </row>
    <row r="125" spans="1:6" x14ac:dyDescent="0.3">
      <c r="A125"/>
      <c r="B125" t="s">
        <v>649</v>
      </c>
      <c r="C125"/>
      <c r="D125"/>
      <c r="E125" s="86"/>
      <c r="F125"/>
    </row>
    <row r="126" spans="1:6" x14ac:dyDescent="0.3">
      <c r="A126"/>
      <c r="B126"/>
      <c r="C126" t="s">
        <v>650</v>
      </c>
      <c r="D126"/>
      <c r="E126" s="86">
        <v>6000</v>
      </c>
      <c r="F126" t="s">
        <v>51</v>
      </c>
    </row>
    <row r="127" spans="1:6" x14ac:dyDescent="0.3">
      <c r="A127"/>
      <c r="B127"/>
      <c r="C127" t="s">
        <v>651</v>
      </c>
      <c r="D127"/>
      <c r="E127" s="86">
        <v>80000</v>
      </c>
      <c r="F127" t="s">
        <v>82</v>
      </c>
    </row>
    <row r="128" spans="1:6" x14ac:dyDescent="0.3">
      <c r="A128"/>
      <c r="B128"/>
      <c r="C128" t="s">
        <v>652</v>
      </c>
      <c r="D128"/>
      <c r="E128" s="86">
        <v>20000</v>
      </c>
      <c r="F128" t="s">
        <v>82</v>
      </c>
    </row>
    <row r="129" spans="1:6" x14ac:dyDescent="0.3">
      <c r="A129"/>
      <c r="B129"/>
      <c r="C129" t="s">
        <v>653</v>
      </c>
      <c r="D129"/>
      <c r="E129" s="86">
        <v>20000</v>
      </c>
      <c r="F129" t="s">
        <v>82</v>
      </c>
    </row>
    <row r="130" spans="1:6" x14ac:dyDescent="0.3">
      <c r="A130"/>
      <c r="E130" s="136"/>
    </row>
    <row r="131" spans="1:6" s="10" customFormat="1" x14ac:dyDescent="0.3">
      <c r="A131"/>
      <c r="B131"/>
      <c r="C131"/>
      <c r="D131"/>
      <c r="E131" s="86"/>
      <c r="F131"/>
    </row>
    <row r="132" spans="1:6" x14ac:dyDescent="0.3">
      <c r="A132"/>
      <c r="B132"/>
      <c r="C132"/>
      <c r="D132"/>
      <c r="E132" s="86"/>
      <c r="F132"/>
    </row>
    <row r="133" spans="1:6" x14ac:dyDescent="0.3">
      <c r="A133"/>
      <c r="B133"/>
      <c r="C133"/>
      <c r="D133"/>
      <c r="E133" s="86"/>
      <c r="F133"/>
    </row>
    <row r="134" spans="1:6" x14ac:dyDescent="0.3">
      <c r="A134"/>
      <c r="B134"/>
      <c r="C134"/>
      <c r="D134"/>
      <c r="E134" s="86"/>
      <c r="F134"/>
    </row>
    <row r="135" spans="1:6" x14ac:dyDescent="0.3">
      <c r="A135"/>
      <c r="B135"/>
      <c r="C135"/>
      <c r="D135"/>
      <c r="E135" s="86"/>
      <c r="F135"/>
    </row>
    <row r="136" spans="1:6" x14ac:dyDescent="0.3">
      <c r="A136"/>
      <c r="B136"/>
      <c r="C136"/>
      <c r="D136"/>
      <c r="E136" s="86"/>
      <c r="F136"/>
    </row>
    <row r="137" spans="1:6" x14ac:dyDescent="0.3">
      <c r="A137"/>
      <c r="B137"/>
      <c r="C137"/>
      <c r="D137"/>
      <c r="E137" s="86"/>
      <c r="F137"/>
    </row>
    <row r="138" spans="1:6" x14ac:dyDescent="0.3">
      <c r="A138"/>
      <c r="B138"/>
      <c r="C138"/>
      <c r="D138"/>
      <c r="E138" s="86"/>
      <c r="F138"/>
    </row>
    <row r="139" spans="1:6" x14ac:dyDescent="0.3">
      <c r="A139" s="135"/>
      <c r="B139" s="135"/>
      <c r="C139" s="135"/>
      <c r="D139" s="135"/>
      <c r="E139" s="138"/>
      <c r="F139" s="135"/>
    </row>
    <row r="140" spans="1:6" x14ac:dyDescent="0.3">
      <c r="A140" s="135"/>
      <c r="B140" s="135"/>
      <c r="C140" s="135"/>
      <c r="D140" s="135"/>
      <c r="E140" s="138"/>
      <c r="F140" s="135"/>
    </row>
    <row r="141" spans="1:6" x14ac:dyDescent="0.3">
      <c r="A141" s="135"/>
      <c r="B141" s="135"/>
      <c r="C141" s="135"/>
      <c r="D141" s="135"/>
      <c r="E141" s="138"/>
      <c r="F141" s="135"/>
    </row>
    <row r="142" spans="1:6" x14ac:dyDescent="0.3">
      <c r="A142" s="135"/>
      <c r="B142" s="135"/>
      <c r="C142" s="135"/>
      <c r="D142" s="135"/>
      <c r="E142" s="138"/>
      <c r="F142" s="135"/>
    </row>
    <row r="143" spans="1:6" x14ac:dyDescent="0.3">
      <c r="A143" s="135"/>
      <c r="B143" s="135"/>
      <c r="C143" s="135"/>
      <c r="D143" s="135"/>
      <c r="E143" s="138"/>
      <c r="F143" s="135"/>
    </row>
    <row r="144" spans="1:6" x14ac:dyDescent="0.3">
      <c r="A144" s="135"/>
      <c r="B144" s="135"/>
      <c r="C144" s="135"/>
      <c r="D144" s="135"/>
      <c r="E144" s="138"/>
      <c r="F144" s="135"/>
    </row>
    <row r="145" spans="1:6" x14ac:dyDescent="0.3">
      <c r="A145" s="135"/>
      <c r="B145" s="135"/>
      <c r="C145" s="135"/>
      <c r="D145" s="135"/>
      <c r="E145" s="138"/>
      <c r="F145" s="135"/>
    </row>
    <row r="146" spans="1:6" x14ac:dyDescent="0.3">
      <c r="A146" s="135"/>
      <c r="B146" s="135"/>
      <c r="C146" s="135"/>
      <c r="D146" s="135"/>
      <c r="E146" s="138"/>
      <c r="F146" s="135"/>
    </row>
    <row r="147" spans="1:6" x14ac:dyDescent="0.3">
      <c r="A147" s="135"/>
      <c r="B147" s="135"/>
      <c r="C147" s="135"/>
      <c r="D147" s="135"/>
      <c r="E147" s="138"/>
      <c r="F147" s="135"/>
    </row>
    <row r="148" spans="1:6" x14ac:dyDescent="0.3">
      <c r="A148" s="135"/>
      <c r="B148" s="135"/>
      <c r="C148" s="135"/>
      <c r="D148" s="135"/>
      <c r="E148" s="138"/>
      <c r="F148" s="135"/>
    </row>
    <row r="149" spans="1:6" x14ac:dyDescent="0.3">
      <c r="A149" s="135"/>
      <c r="B149" s="135"/>
      <c r="C149" s="135"/>
      <c r="D149" s="135"/>
      <c r="E149" s="138"/>
      <c r="F149" s="135"/>
    </row>
    <row r="150" spans="1:6" x14ac:dyDescent="0.3">
      <c r="A150" s="135"/>
      <c r="B150" s="135"/>
      <c r="C150" s="135"/>
      <c r="D150" s="135"/>
      <c r="E150" s="138"/>
      <c r="F150" s="135"/>
    </row>
    <row r="151" spans="1:6" x14ac:dyDescent="0.3">
      <c r="A151" s="135"/>
      <c r="B151" s="135"/>
      <c r="C151" s="135"/>
      <c r="D151" s="135"/>
      <c r="E151" s="138"/>
      <c r="F151" s="135"/>
    </row>
    <row r="152" spans="1:6" x14ac:dyDescent="0.3">
      <c r="A152" s="135"/>
      <c r="B152" s="135"/>
      <c r="C152" s="135"/>
      <c r="D152" s="135"/>
      <c r="E152" s="138"/>
      <c r="F152" s="135"/>
    </row>
    <row r="153" spans="1:6" x14ac:dyDescent="0.3">
      <c r="A153" s="135"/>
      <c r="B153" s="135"/>
      <c r="C153" s="135"/>
      <c r="D153" s="135"/>
      <c r="E153" s="138"/>
      <c r="F153" s="135"/>
    </row>
    <row r="154" spans="1:6" x14ac:dyDescent="0.3">
      <c r="A154" s="135"/>
      <c r="B154" s="135"/>
      <c r="C154" s="135"/>
      <c r="D154" s="135"/>
      <c r="E154" s="138"/>
      <c r="F154" s="13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AD0B8-5FA5-4DED-8D3A-18061C098D30}">
  <dimension ref="A1:F128"/>
  <sheetViews>
    <sheetView topLeftCell="A104" zoomScale="69" workbookViewId="0">
      <selection activeCell="C125" sqref="C125"/>
    </sheetView>
  </sheetViews>
  <sheetFormatPr defaultColWidth="9.109375" defaultRowHeight="15" customHeight="1" outlineLevelRow="5" x14ac:dyDescent="0.3"/>
  <cols>
    <col min="1" max="1" width="14" style="106" customWidth="1"/>
    <col min="2" max="2" width="41.33203125" style="110" customWidth="1"/>
    <col min="3" max="3" width="63.5546875" style="110" customWidth="1"/>
    <col min="4" max="4" width="47.33203125" style="106" customWidth="1"/>
    <col min="5" max="16384" width="9.109375" style="106"/>
  </cols>
  <sheetData>
    <row r="1" spans="1:4" ht="14.4" x14ac:dyDescent="0.3">
      <c r="A1" s="1" t="s">
        <v>83</v>
      </c>
      <c r="B1" s="105" t="s">
        <v>84</v>
      </c>
      <c r="C1" s="105" t="s">
        <v>85</v>
      </c>
      <c r="D1" s="1" t="s">
        <v>86</v>
      </c>
    </row>
    <row r="2" spans="1:4" ht="14.4" x14ac:dyDescent="0.3">
      <c r="A2" s="125">
        <v>1</v>
      </c>
      <c r="B2" s="108" t="s">
        <v>87</v>
      </c>
      <c r="C2" s="108"/>
      <c r="D2" s="107"/>
    </row>
    <row r="3" spans="1:4" ht="14.4" outlineLevel="1" x14ac:dyDescent="0.3">
      <c r="A3" s="126" t="s">
        <v>88</v>
      </c>
      <c r="B3" s="105" t="s">
        <v>89</v>
      </c>
      <c r="C3" s="105"/>
      <c r="D3" s="109"/>
    </row>
    <row r="4" spans="1:4" ht="57.6" outlineLevel="2" x14ac:dyDescent="0.3">
      <c r="A4" s="126" t="s">
        <v>90</v>
      </c>
      <c r="B4" s="105" t="s">
        <v>91</v>
      </c>
      <c r="C4" s="105" t="s">
        <v>92</v>
      </c>
      <c r="D4" s="1" t="s">
        <v>671</v>
      </c>
    </row>
    <row r="5" spans="1:4" ht="57.6" outlineLevel="2" x14ac:dyDescent="0.3">
      <c r="A5" s="126" t="s">
        <v>93</v>
      </c>
      <c r="B5" s="105" t="s">
        <v>94</v>
      </c>
      <c r="C5" s="105" t="s">
        <v>723</v>
      </c>
      <c r="D5" s="5" t="s">
        <v>724</v>
      </c>
    </row>
    <row r="6" spans="1:4" ht="82.2" customHeight="1" outlineLevel="2" x14ac:dyDescent="0.3">
      <c r="A6" s="126" t="s">
        <v>95</v>
      </c>
      <c r="B6" s="105" t="s">
        <v>96</v>
      </c>
      <c r="C6" s="105" t="s">
        <v>719</v>
      </c>
      <c r="D6" s="143" t="s">
        <v>698</v>
      </c>
    </row>
    <row r="7" spans="1:4" ht="14.4" outlineLevel="1" x14ac:dyDescent="0.3">
      <c r="A7" s="126" t="s">
        <v>97</v>
      </c>
      <c r="B7" s="105" t="s">
        <v>98</v>
      </c>
      <c r="C7" s="105"/>
      <c r="D7" s="1"/>
    </row>
    <row r="8" spans="1:4" ht="72" outlineLevel="2" x14ac:dyDescent="0.3">
      <c r="A8" s="126" t="s">
        <v>99</v>
      </c>
      <c r="B8" s="105" t="s">
        <v>100</v>
      </c>
      <c r="C8" s="105" t="s">
        <v>720</v>
      </c>
      <c r="D8" s="1" t="s">
        <v>672</v>
      </c>
    </row>
    <row r="9" spans="1:4" ht="72" outlineLevel="2" x14ac:dyDescent="0.3">
      <c r="A9" s="126" t="s">
        <v>101</v>
      </c>
      <c r="B9" s="105" t="s">
        <v>102</v>
      </c>
      <c r="C9" s="105" t="s">
        <v>721</v>
      </c>
      <c r="D9" s="143" t="s">
        <v>698</v>
      </c>
    </row>
    <row r="10" spans="1:4" ht="118.95" customHeight="1" outlineLevel="1" x14ac:dyDescent="0.3">
      <c r="A10" s="126" t="s">
        <v>103</v>
      </c>
      <c r="B10" s="105" t="s">
        <v>104</v>
      </c>
      <c r="C10" s="105" t="s">
        <v>105</v>
      </c>
      <c r="D10" s="1" t="s">
        <v>673</v>
      </c>
    </row>
    <row r="11" spans="1:4" ht="72" outlineLevel="1" x14ac:dyDescent="0.3">
      <c r="A11" s="126" t="s">
        <v>106</v>
      </c>
      <c r="B11" s="105" t="s">
        <v>107</v>
      </c>
      <c r="C11" s="110" t="s">
        <v>722</v>
      </c>
      <c r="D11" s="143" t="s">
        <v>695</v>
      </c>
    </row>
    <row r="12" spans="1:4" ht="14.4" x14ac:dyDescent="0.3">
      <c r="A12" s="125">
        <v>2</v>
      </c>
      <c r="B12" s="108" t="s">
        <v>108</v>
      </c>
      <c r="C12" s="108"/>
      <c r="D12" s="107"/>
    </row>
    <row r="13" spans="1:4" ht="14.4" outlineLevel="1" x14ac:dyDescent="0.3">
      <c r="A13" s="127" t="s">
        <v>109</v>
      </c>
      <c r="B13" s="105" t="s">
        <v>110</v>
      </c>
    </row>
    <row r="14" spans="1:4" ht="14.4" outlineLevel="2" x14ac:dyDescent="0.3">
      <c r="A14" s="127" t="s">
        <v>111</v>
      </c>
      <c r="B14" s="110" t="s">
        <v>112</v>
      </c>
    </row>
    <row r="15" spans="1:4" ht="72" outlineLevel="3" x14ac:dyDescent="0.3">
      <c r="A15" s="126" t="s">
        <v>113</v>
      </c>
      <c r="B15" s="105" t="s">
        <v>114</v>
      </c>
      <c r="C15" s="105" t="s">
        <v>115</v>
      </c>
      <c r="D15" s="1" t="s">
        <v>674</v>
      </c>
    </row>
    <row r="16" spans="1:4" ht="86.4" outlineLevel="3" x14ac:dyDescent="0.3">
      <c r="A16" s="127" t="s">
        <v>116</v>
      </c>
      <c r="B16" s="110" t="s">
        <v>117</v>
      </c>
      <c r="C16" s="110" t="s">
        <v>118</v>
      </c>
      <c r="D16" s="106" t="s">
        <v>675</v>
      </c>
    </row>
    <row r="17" spans="1:4" ht="14.4" outlineLevel="2" x14ac:dyDescent="0.3">
      <c r="A17" s="127" t="s">
        <v>119</v>
      </c>
      <c r="B17" s="105" t="s">
        <v>120</v>
      </c>
    </row>
    <row r="18" spans="1:4" ht="90" customHeight="1" outlineLevel="3" x14ac:dyDescent="0.3">
      <c r="A18" s="127" t="s">
        <v>121</v>
      </c>
      <c r="B18" s="110" t="s">
        <v>122</v>
      </c>
      <c r="C18" s="110" t="s">
        <v>123</v>
      </c>
      <c r="D18" s="106" t="s">
        <v>676</v>
      </c>
    </row>
    <row r="19" spans="1:4" ht="71.25" customHeight="1" outlineLevel="3" x14ac:dyDescent="0.3">
      <c r="A19" s="127" t="s">
        <v>124</v>
      </c>
      <c r="B19" s="110" t="s">
        <v>125</v>
      </c>
      <c r="C19" s="110" t="s">
        <v>126</v>
      </c>
      <c r="D19" s="106" t="s">
        <v>677</v>
      </c>
    </row>
    <row r="20" spans="1:4" ht="59.25" customHeight="1" outlineLevel="2" x14ac:dyDescent="0.3">
      <c r="A20" s="127" t="s">
        <v>127</v>
      </c>
      <c r="B20" s="110" t="s">
        <v>128</v>
      </c>
      <c r="C20" s="8" t="s">
        <v>129</v>
      </c>
      <c r="D20" s="106" t="s">
        <v>678</v>
      </c>
    </row>
    <row r="21" spans="1:4" ht="57.6" outlineLevel="2" x14ac:dyDescent="0.3">
      <c r="A21" s="127" t="s">
        <v>130</v>
      </c>
      <c r="B21" s="110" t="s">
        <v>131</v>
      </c>
      <c r="C21" s="8" t="s">
        <v>132</v>
      </c>
      <c r="D21" s="106" t="s">
        <v>133</v>
      </c>
    </row>
    <row r="22" spans="1:4" ht="43.2" outlineLevel="2" x14ac:dyDescent="0.3">
      <c r="A22" s="127" t="s">
        <v>134</v>
      </c>
      <c r="B22" s="110" t="s">
        <v>135</v>
      </c>
      <c r="C22" s="8" t="s">
        <v>136</v>
      </c>
      <c r="D22" s="106" t="s">
        <v>133</v>
      </c>
    </row>
    <row r="23" spans="1:4" ht="14.4" outlineLevel="1" x14ac:dyDescent="0.3">
      <c r="A23" s="127" t="s">
        <v>137</v>
      </c>
      <c r="B23" s="110" t="s">
        <v>138</v>
      </c>
    </row>
    <row r="24" spans="1:4" ht="14.4" outlineLevel="1" x14ac:dyDescent="0.3">
      <c r="A24" s="127" t="s">
        <v>139</v>
      </c>
      <c r="B24" s="110" t="s">
        <v>140</v>
      </c>
    </row>
    <row r="25" spans="1:4" ht="133.5" customHeight="1" outlineLevel="2" x14ac:dyDescent="0.3">
      <c r="A25" s="127" t="s">
        <v>141</v>
      </c>
      <c r="B25" s="110" t="s">
        <v>142</v>
      </c>
      <c r="C25" s="8" t="s">
        <v>143</v>
      </c>
      <c r="D25" s="106" t="s">
        <v>679</v>
      </c>
    </row>
    <row r="26" spans="1:4" ht="57.6" outlineLevel="2" x14ac:dyDescent="0.3">
      <c r="A26" s="127" t="s">
        <v>144</v>
      </c>
      <c r="B26" s="110" t="s">
        <v>145</v>
      </c>
      <c r="C26" s="110" t="s">
        <v>146</v>
      </c>
      <c r="D26" s="106" t="s">
        <v>680</v>
      </c>
    </row>
    <row r="27" spans="1:4" ht="115.2" outlineLevel="1" x14ac:dyDescent="0.3">
      <c r="A27" s="127" t="s">
        <v>147</v>
      </c>
      <c r="B27" s="110" t="s">
        <v>148</v>
      </c>
      <c r="C27" s="105" t="s">
        <v>149</v>
      </c>
      <c r="D27" s="106" t="s">
        <v>681</v>
      </c>
    </row>
    <row r="28" spans="1:4" ht="14.4" outlineLevel="1" x14ac:dyDescent="0.3">
      <c r="A28" s="127" t="s">
        <v>150</v>
      </c>
      <c r="B28" s="110" t="s">
        <v>151</v>
      </c>
    </row>
    <row r="29" spans="1:4" ht="72" outlineLevel="2" x14ac:dyDescent="0.3">
      <c r="A29" s="127" t="s">
        <v>152</v>
      </c>
      <c r="B29" s="110" t="s">
        <v>153</v>
      </c>
      <c r="C29" s="110" t="s">
        <v>154</v>
      </c>
      <c r="D29" s="106" t="s">
        <v>682</v>
      </c>
    </row>
    <row r="30" spans="1:4" ht="72" outlineLevel="2" x14ac:dyDescent="0.3">
      <c r="A30" s="127" t="s">
        <v>155</v>
      </c>
      <c r="B30" s="110" t="s">
        <v>156</v>
      </c>
      <c r="C30" s="110" t="s">
        <v>157</v>
      </c>
      <c r="D30" s="106" t="s">
        <v>683</v>
      </c>
    </row>
    <row r="31" spans="1:4" ht="133.19999999999999" customHeight="1" outlineLevel="1" x14ac:dyDescent="0.3">
      <c r="A31" s="127" t="s">
        <v>158</v>
      </c>
      <c r="B31" s="110" t="s">
        <v>159</v>
      </c>
      <c r="C31" s="105" t="s">
        <v>160</v>
      </c>
      <c r="D31" s="106" t="s">
        <v>684</v>
      </c>
    </row>
    <row r="32" spans="1:4" ht="81.599999999999994" customHeight="1" outlineLevel="1" x14ac:dyDescent="0.3">
      <c r="A32" s="127" t="s">
        <v>161</v>
      </c>
      <c r="B32" s="110" t="s">
        <v>131</v>
      </c>
      <c r="C32" s="105" t="s">
        <v>162</v>
      </c>
      <c r="D32" s="106" t="s">
        <v>133</v>
      </c>
    </row>
    <row r="33" spans="1:4" ht="115.2" outlineLevel="1" x14ac:dyDescent="0.3">
      <c r="A33" s="127" t="s">
        <v>163</v>
      </c>
      <c r="B33" s="110" t="s">
        <v>135</v>
      </c>
      <c r="C33" s="105" t="s">
        <v>164</v>
      </c>
      <c r="D33" s="106" t="s">
        <v>133</v>
      </c>
    </row>
    <row r="34" spans="1:4" ht="14.4" x14ac:dyDescent="0.3">
      <c r="A34" s="125">
        <v>3</v>
      </c>
      <c r="B34" s="108" t="s">
        <v>165</v>
      </c>
      <c r="C34" s="108"/>
      <c r="D34" s="107"/>
    </row>
    <row r="35" spans="1:4" ht="14.4" outlineLevel="1" x14ac:dyDescent="0.3">
      <c r="A35" s="127" t="s">
        <v>166</v>
      </c>
      <c r="B35" s="110" t="s">
        <v>167</v>
      </c>
    </row>
    <row r="36" spans="1:4" ht="72" outlineLevel="5" x14ac:dyDescent="0.3">
      <c r="A36" s="126" t="s">
        <v>168</v>
      </c>
      <c r="B36" s="110" t="s">
        <v>169</v>
      </c>
      <c r="C36" s="105" t="s">
        <v>170</v>
      </c>
      <c r="D36" s="106" t="s">
        <v>712</v>
      </c>
    </row>
    <row r="37" spans="1:4" ht="57.6" outlineLevel="5" x14ac:dyDescent="0.3">
      <c r="A37" s="127" t="s">
        <v>171</v>
      </c>
      <c r="B37" s="110" t="s">
        <v>172</v>
      </c>
      <c r="C37" s="105" t="s">
        <v>173</v>
      </c>
      <c r="D37" s="106" t="s">
        <v>698</v>
      </c>
    </row>
    <row r="38" spans="1:4" ht="14.4" outlineLevel="1" x14ac:dyDescent="0.3">
      <c r="A38" s="127" t="s">
        <v>174</v>
      </c>
      <c r="B38" s="110" t="s">
        <v>175</v>
      </c>
    </row>
    <row r="39" spans="1:4" ht="72" outlineLevel="2" x14ac:dyDescent="0.3">
      <c r="A39" s="127" t="s">
        <v>176</v>
      </c>
      <c r="B39" s="105" t="s">
        <v>177</v>
      </c>
      <c r="C39" s="105" t="s">
        <v>178</v>
      </c>
      <c r="D39" s="106" t="s">
        <v>685</v>
      </c>
    </row>
    <row r="40" spans="1:4" ht="72" outlineLevel="2" x14ac:dyDescent="0.3">
      <c r="A40" s="127" t="s">
        <v>179</v>
      </c>
      <c r="B40" s="105" t="s">
        <v>180</v>
      </c>
      <c r="C40" s="105" t="s">
        <v>181</v>
      </c>
      <c r="D40" s="106" t="s">
        <v>133</v>
      </c>
    </row>
    <row r="41" spans="1:4" ht="100.8" outlineLevel="1" x14ac:dyDescent="0.3">
      <c r="A41" s="127" t="s">
        <v>182</v>
      </c>
      <c r="B41" s="110" t="s">
        <v>183</v>
      </c>
      <c r="C41" s="105" t="s">
        <v>184</v>
      </c>
      <c r="D41" s="106" t="s">
        <v>698</v>
      </c>
    </row>
    <row r="42" spans="1:4" ht="14.4" x14ac:dyDescent="0.3">
      <c r="A42" s="128">
        <v>4</v>
      </c>
      <c r="B42" s="112" t="s">
        <v>185</v>
      </c>
      <c r="C42" s="113"/>
      <c r="D42" s="111"/>
    </row>
    <row r="43" spans="1:4" ht="14.4" outlineLevel="1" x14ac:dyDescent="0.3">
      <c r="A43" s="129" t="s">
        <v>186</v>
      </c>
      <c r="B43" s="114" t="s">
        <v>187</v>
      </c>
      <c r="C43" s="115"/>
      <c r="D43" s="2"/>
    </row>
    <row r="44" spans="1:4" ht="86.4" outlineLevel="3" x14ac:dyDescent="0.3">
      <c r="A44" s="129" t="s">
        <v>188</v>
      </c>
      <c r="B44" s="114" t="s">
        <v>189</v>
      </c>
      <c r="C44" s="115" t="s">
        <v>190</v>
      </c>
      <c r="D44" s="2" t="s">
        <v>713</v>
      </c>
    </row>
    <row r="45" spans="1:4" ht="57.6" outlineLevel="3" x14ac:dyDescent="0.3">
      <c r="A45" s="129" t="s">
        <v>191</v>
      </c>
      <c r="B45" s="114" t="s">
        <v>192</v>
      </c>
      <c r="C45" s="115" t="s">
        <v>193</v>
      </c>
      <c r="D45" s="2" t="s">
        <v>696</v>
      </c>
    </row>
    <row r="46" spans="1:4" ht="14.4" outlineLevel="3" x14ac:dyDescent="0.3">
      <c r="A46" s="129" t="s">
        <v>194</v>
      </c>
      <c r="B46" s="114" t="s">
        <v>195</v>
      </c>
      <c r="C46" s="115"/>
      <c r="D46" s="2"/>
    </row>
    <row r="47" spans="1:4" ht="57.6" outlineLevel="2" x14ac:dyDescent="0.3">
      <c r="A47" s="129" t="s">
        <v>196</v>
      </c>
      <c r="B47" s="114" t="s">
        <v>197</v>
      </c>
      <c r="C47" s="115" t="s">
        <v>198</v>
      </c>
      <c r="D47" s="2" t="s">
        <v>714</v>
      </c>
    </row>
    <row r="48" spans="1:4" ht="72" outlineLevel="2" x14ac:dyDescent="0.3">
      <c r="A48" s="129" t="s">
        <v>199</v>
      </c>
      <c r="B48" s="114" t="s">
        <v>200</v>
      </c>
      <c r="C48" s="115" t="s">
        <v>201</v>
      </c>
      <c r="D48" s="2" t="s">
        <v>715</v>
      </c>
    </row>
    <row r="49" spans="1:4" ht="86.4" outlineLevel="2" x14ac:dyDescent="0.3">
      <c r="A49" s="129" t="s">
        <v>202</v>
      </c>
      <c r="B49" s="114" t="s">
        <v>203</v>
      </c>
      <c r="C49" s="115" t="s">
        <v>204</v>
      </c>
      <c r="D49" s="2" t="s">
        <v>716</v>
      </c>
    </row>
    <row r="50" spans="1:4" ht="14.4" outlineLevel="1" x14ac:dyDescent="0.3">
      <c r="A50" s="129" t="s">
        <v>205</v>
      </c>
      <c r="B50" s="114" t="s">
        <v>206</v>
      </c>
      <c r="C50" s="115"/>
      <c r="D50" s="2"/>
    </row>
    <row r="51" spans="1:4" ht="14.4" outlineLevel="2" x14ac:dyDescent="0.3">
      <c r="A51" s="129" t="s">
        <v>207</v>
      </c>
      <c r="B51" s="114" t="s">
        <v>208</v>
      </c>
      <c r="C51" s="115"/>
      <c r="D51" s="2"/>
    </row>
    <row r="52" spans="1:4" ht="102.75" customHeight="1" outlineLevel="3" x14ac:dyDescent="0.3">
      <c r="A52" s="129" t="s">
        <v>209</v>
      </c>
      <c r="B52" s="114" t="s">
        <v>210</v>
      </c>
      <c r="C52" s="115" t="s">
        <v>211</v>
      </c>
      <c r="D52" s="2" t="s">
        <v>717</v>
      </c>
    </row>
    <row r="53" spans="1:4" ht="133.5" customHeight="1" outlineLevel="3" x14ac:dyDescent="0.3">
      <c r="A53" s="129" t="s">
        <v>212</v>
      </c>
      <c r="B53" s="114" t="s">
        <v>213</v>
      </c>
      <c r="C53" s="116" t="s">
        <v>214</v>
      </c>
      <c r="D53" s="2" t="s">
        <v>717</v>
      </c>
    </row>
    <row r="54" spans="1:4" ht="14.4" outlineLevel="2" x14ac:dyDescent="0.3">
      <c r="A54" s="129" t="s">
        <v>215</v>
      </c>
      <c r="B54" s="114" t="s">
        <v>216</v>
      </c>
      <c r="C54" s="115"/>
      <c r="D54" s="2"/>
    </row>
    <row r="55" spans="1:4" ht="86.4" outlineLevel="3" x14ac:dyDescent="0.3">
      <c r="A55" s="129" t="s">
        <v>217</v>
      </c>
      <c r="B55" s="114" t="s">
        <v>218</v>
      </c>
      <c r="C55" s="115" t="s">
        <v>219</v>
      </c>
      <c r="D55" s="2" t="s">
        <v>697</v>
      </c>
    </row>
    <row r="56" spans="1:4" ht="72" outlineLevel="3" x14ac:dyDescent="0.3">
      <c r="A56" s="129" t="s">
        <v>220</v>
      </c>
      <c r="B56" s="114" t="s">
        <v>221</v>
      </c>
      <c r="C56" s="115" t="s">
        <v>222</v>
      </c>
      <c r="D56" s="2" t="s">
        <v>697</v>
      </c>
    </row>
    <row r="57" spans="1:4" ht="57.6" outlineLevel="3" x14ac:dyDescent="0.3">
      <c r="A57" s="129" t="s">
        <v>223</v>
      </c>
      <c r="B57" s="114" t="s">
        <v>224</v>
      </c>
      <c r="C57" s="115" t="s">
        <v>225</v>
      </c>
      <c r="D57" s="2" t="s">
        <v>697</v>
      </c>
    </row>
    <row r="58" spans="1:4" ht="72" outlineLevel="3" x14ac:dyDescent="0.3">
      <c r="A58" s="129" t="s">
        <v>226</v>
      </c>
      <c r="B58" s="114" t="s">
        <v>227</v>
      </c>
      <c r="C58" s="115" t="s">
        <v>228</v>
      </c>
      <c r="D58" s="2" t="s">
        <v>697</v>
      </c>
    </row>
    <row r="59" spans="1:4" ht="14.4" outlineLevel="2" x14ac:dyDescent="0.3">
      <c r="A59" s="129" t="s">
        <v>229</v>
      </c>
      <c r="B59" s="114" t="s">
        <v>230</v>
      </c>
      <c r="C59" s="115"/>
      <c r="D59" s="2"/>
    </row>
    <row r="60" spans="1:4" ht="86.4" outlineLevel="1" x14ac:dyDescent="0.3">
      <c r="A60" s="129" t="s">
        <v>231</v>
      </c>
      <c r="B60" s="114" t="s">
        <v>232</v>
      </c>
      <c r="C60" s="117" t="s">
        <v>233</v>
      </c>
      <c r="D60" s="2" t="s">
        <v>234</v>
      </c>
    </row>
    <row r="61" spans="1:4" ht="72" outlineLevel="1" x14ac:dyDescent="0.3">
      <c r="A61" s="129" t="s">
        <v>235</v>
      </c>
      <c r="B61" s="114" t="s">
        <v>236</v>
      </c>
      <c r="C61" s="115" t="s">
        <v>237</v>
      </c>
      <c r="D61" s="2" t="s">
        <v>238</v>
      </c>
    </row>
    <row r="62" spans="1:4" ht="86.4" outlineLevel="1" x14ac:dyDescent="0.3">
      <c r="A62" s="129" t="s">
        <v>239</v>
      </c>
      <c r="B62" s="114" t="s">
        <v>240</v>
      </c>
      <c r="C62" s="115" t="s">
        <v>241</v>
      </c>
      <c r="D62" s="2" t="s">
        <v>234</v>
      </c>
    </row>
    <row r="63" spans="1:4" ht="72" outlineLevel="1" x14ac:dyDescent="0.3">
      <c r="A63" s="129" t="s">
        <v>242</v>
      </c>
      <c r="B63" s="114" t="s">
        <v>243</v>
      </c>
      <c r="C63" s="115" t="s">
        <v>244</v>
      </c>
      <c r="D63" s="2" t="s">
        <v>238</v>
      </c>
    </row>
    <row r="64" spans="1:4" ht="72" outlineLevel="1" x14ac:dyDescent="0.3">
      <c r="A64" s="129" t="s">
        <v>245</v>
      </c>
      <c r="B64" s="114" t="s">
        <v>246</v>
      </c>
      <c r="C64" s="117" t="s">
        <v>247</v>
      </c>
      <c r="D64" s="2" t="s">
        <v>234</v>
      </c>
    </row>
    <row r="65" spans="1:4" ht="14.4" x14ac:dyDescent="0.3">
      <c r="A65" s="125">
        <v>5</v>
      </c>
      <c r="B65" s="108" t="s">
        <v>248</v>
      </c>
      <c r="C65" s="108"/>
      <c r="D65" s="107"/>
    </row>
    <row r="66" spans="1:4" ht="86.4" outlineLevel="1" x14ac:dyDescent="0.3">
      <c r="A66" s="127" t="s">
        <v>249</v>
      </c>
      <c r="B66" s="110" t="s">
        <v>250</v>
      </c>
      <c r="C66" s="110" t="s">
        <v>251</v>
      </c>
      <c r="D66" s="106" t="s">
        <v>252</v>
      </c>
    </row>
    <row r="67" spans="1:4" ht="86.4" outlineLevel="1" x14ac:dyDescent="0.3">
      <c r="A67" s="127" t="s">
        <v>253</v>
      </c>
      <c r="B67" s="110" t="s">
        <v>581</v>
      </c>
      <c r="C67" s="110" t="s">
        <v>254</v>
      </c>
      <c r="D67" s="106" t="s">
        <v>252</v>
      </c>
    </row>
    <row r="68" spans="1:4" ht="57.6" outlineLevel="1" x14ac:dyDescent="0.3">
      <c r="A68" s="127" t="s">
        <v>255</v>
      </c>
      <c r="B68" s="110" t="s">
        <v>580</v>
      </c>
      <c r="C68" s="110" t="s">
        <v>256</v>
      </c>
      <c r="D68" s="106" t="s">
        <v>252</v>
      </c>
    </row>
    <row r="69" spans="1:4" ht="14.4" x14ac:dyDescent="0.3">
      <c r="A69" s="125">
        <v>6</v>
      </c>
      <c r="B69" s="108" t="s">
        <v>257</v>
      </c>
      <c r="C69" s="108"/>
      <c r="D69" s="107"/>
    </row>
    <row r="70" spans="1:4" ht="57.6" outlineLevel="1" x14ac:dyDescent="0.3">
      <c r="A70" s="129" t="s">
        <v>258</v>
      </c>
      <c r="B70" s="118" t="s">
        <v>259</v>
      </c>
      <c r="C70" s="114" t="s">
        <v>260</v>
      </c>
      <c r="D70" s="2" t="s">
        <v>261</v>
      </c>
    </row>
    <row r="71" spans="1:4" ht="43.2" outlineLevel="1" x14ac:dyDescent="0.3">
      <c r="A71" s="130" t="s">
        <v>262</v>
      </c>
      <c r="B71" s="118" t="s">
        <v>263</v>
      </c>
      <c r="C71" s="114" t="s">
        <v>264</v>
      </c>
      <c r="D71" s="2" t="s">
        <v>265</v>
      </c>
    </row>
    <row r="72" spans="1:4" ht="14.4" x14ac:dyDescent="0.3">
      <c r="A72" s="107">
        <v>7</v>
      </c>
      <c r="B72" s="108" t="s">
        <v>266</v>
      </c>
      <c r="C72" s="108"/>
      <c r="D72" s="107"/>
    </row>
    <row r="73" spans="1:4" ht="14.4" outlineLevel="1" x14ac:dyDescent="0.3">
      <c r="A73" s="130" t="s">
        <v>267</v>
      </c>
      <c r="B73" s="118" t="s">
        <v>268</v>
      </c>
      <c r="C73" s="118"/>
      <c r="D73" s="2"/>
    </row>
    <row r="74" spans="1:4" ht="100.8" outlineLevel="2" x14ac:dyDescent="0.3">
      <c r="A74" s="130" t="s">
        <v>269</v>
      </c>
      <c r="B74" s="118" t="s">
        <v>270</v>
      </c>
      <c r="C74" s="118" t="s">
        <v>271</v>
      </c>
      <c r="D74" s="2" t="s">
        <v>272</v>
      </c>
    </row>
    <row r="75" spans="1:4" ht="100.8" outlineLevel="2" x14ac:dyDescent="0.3">
      <c r="A75" s="129" t="s">
        <v>273</v>
      </c>
      <c r="B75" s="118" t="s">
        <v>274</v>
      </c>
      <c r="C75" s="118" t="s">
        <v>275</v>
      </c>
      <c r="D75" s="2" t="s">
        <v>276</v>
      </c>
    </row>
    <row r="76" spans="1:4" ht="100.8" outlineLevel="2" x14ac:dyDescent="0.3">
      <c r="A76" s="130" t="s">
        <v>277</v>
      </c>
      <c r="B76" s="118" t="s">
        <v>582</v>
      </c>
      <c r="C76" s="118" t="s">
        <v>278</v>
      </c>
      <c r="D76" s="2" t="s">
        <v>686</v>
      </c>
    </row>
    <row r="77" spans="1:4" ht="14.4" outlineLevel="1" x14ac:dyDescent="0.3">
      <c r="A77" s="131" t="s">
        <v>279</v>
      </c>
      <c r="B77" s="119" t="s">
        <v>280</v>
      </c>
      <c r="C77" s="118"/>
      <c r="D77" s="2"/>
    </row>
    <row r="78" spans="1:4" ht="86.4" outlineLevel="2" x14ac:dyDescent="0.3">
      <c r="A78" s="130" t="s">
        <v>281</v>
      </c>
      <c r="B78" s="118" t="s">
        <v>282</v>
      </c>
      <c r="C78" s="118" t="s">
        <v>283</v>
      </c>
      <c r="D78" s="144" t="s">
        <v>700</v>
      </c>
    </row>
    <row r="79" spans="1:4" ht="100.8" outlineLevel="2" x14ac:dyDescent="0.3">
      <c r="A79" s="130" t="s">
        <v>284</v>
      </c>
      <c r="B79" s="118" t="s">
        <v>285</v>
      </c>
      <c r="C79" s="118" t="s">
        <v>286</v>
      </c>
      <c r="D79" s="2" t="s">
        <v>688</v>
      </c>
    </row>
    <row r="80" spans="1:4" ht="100.8" outlineLevel="2" x14ac:dyDescent="0.3">
      <c r="A80" s="130" t="s">
        <v>287</v>
      </c>
      <c r="B80" s="118" t="s">
        <v>288</v>
      </c>
      <c r="C80" s="118" t="s">
        <v>289</v>
      </c>
      <c r="D80" s="2" t="s">
        <v>687</v>
      </c>
    </row>
    <row r="81" spans="1:4" ht="100.8" outlineLevel="2" x14ac:dyDescent="0.3">
      <c r="A81" s="130" t="s">
        <v>290</v>
      </c>
      <c r="B81" s="118" t="s">
        <v>291</v>
      </c>
      <c r="C81" s="114" t="s">
        <v>292</v>
      </c>
      <c r="D81" s="2" t="s">
        <v>701</v>
      </c>
    </row>
    <row r="82" spans="1:4" ht="14.4" outlineLevel="1" x14ac:dyDescent="0.3">
      <c r="A82" s="129" t="s">
        <v>293</v>
      </c>
      <c r="B82" s="118" t="s">
        <v>294</v>
      </c>
      <c r="C82" s="115"/>
      <c r="D82" s="2"/>
    </row>
    <row r="83" spans="1:4" ht="86.4" outlineLevel="2" x14ac:dyDescent="0.3">
      <c r="A83" s="130" t="s">
        <v>295</v>
      </c>
      <c r="B83" s="118" t="s">
        <v>296</v>
      </c>
      <c r="C83" s="114" t="s">
        <v>297</v>
      </c>
      <c r="D83" s="2" t="s">
        <v>699</v>
      </c>
    </row>
    <row r="84" spans="1:4" ht="100.8" outlineLevel="2" x14ac:dyDescent="0.3">
      <c r="A84" s="130" t="s">
        <v>298</v>
      </c>
      <c r="B84" s="118" t="s">
        <v>299</v>
      </c>
      <c r="C84" s="114" t="s">
        <v>300</v>
      </c>
      <c r="D84" s="2" t="s">
        <v>693</v>
      </c>
    </row>
    <row r="85" spans="1:4" ht="100.8" outlineLevel="2" x14ac:dyDescent="0.3">
      <c r="A85" s="5" t="s">
        <v>301</v>
      </c>
      <c r="B85" s="14" t="s">
        <v>302</v>
      </c>
      <c r="C85" s="114" t="s">
        <v>303</v>
      </c>
      <c r="D85" s="2" t="s">
        <v>694</v>
      </c>
    </row>
    <row r="86" spans="1:4" ht="100.8" outlineLevel="2" x14ac:dyDescent="0.3">
      <c r="A86" s="126" t="s">
        <v>304</v>
      </c>
      <c r="B86" s="105" t="s">
        <v>305</v>
      </c>
      <c r="C86" s="114" t="s">
        <v>306</v>
      </c>
      <c r="D86" s="2" t="s">
        <v>307</v>
      </c>
    </row>
    <row r="87" spans="1:4" ht="72" outlineLevel="2" x14ac:dyDescent="0.3">
      <c r="A87" s="127" t="s">
        <v>308</v>
      </c>
      <c r="B87" s="110" t="s">
        <v>309</v>
      </c>
      <c r="C87" s="114" t="s">
        <v>310</v>
      </c>
      <c r="D87" s="144" t="s">
        <v>702</v>
      </c>
    </row>
    <row r="88" spans="1:4" ht="28.8" outlineLevel="2" x14ac:dyDescent="0.3">
      <c r="A88" s="127" t="s">
        <v>311</v>
      </c>
      <c r="B88" s="110" t="s">
        <v>312</v>
      </c>
      <c r="C88" s="114" t="s">
        <v>313</v>
      </c>
      <c r="D88" s="2" t="s">
        <v>703</v>
      </c>
    </row>
    <row r="89" spans="1:4" ht="86.4" outlineLevel="2" x14ac:dyDescent="0.3">
      <c r="A89" s="127" t="s">
        <v>314</v>
      </c>
      <c r="B89" s="110" t="s">
        <v>315</v>
      </c>
      <c r="C89" s="114" t="s">
        <v>316</v>
      </c>
      <c r="D89" s="2" t="s">
        <v>692</v>
      </c>
    </row>
    <row r="90" spans="1:4" ht="86.4" outlineLevel="2" x14ac:dyDescent="0.3">
      <c r="A90" s="127" t="s">
        <v>317</v>
      </c>
      <c r="B90" s="110" t="s">
        <v>318</v>
      </c>
      <c r="C90" s="114" t="s">
        <v>319</v>
      </c>
      <c r="D90" s="144" t="s">
        <v>704</v>
      </c>
    </row>
    <row r="91" spans="1:4" ht="86.4" outlineLevel="2" x14ac:dyDescent="0.3">
      <c r="A91" s="127" t="s">
        <v>320</v>
      </c>
      <c r="B91" s="110" t="s">
        <v>321</v>
      </c>
      <c r="C91" s="114" t="s">
        <v>322</v>
      </c>
      <c r="D91" s="2" t="s">
        <v>323</v>
      </c>
    </row>
    <row r="92" spans="1:4" ht="100.8" outlineLevel="2" x14ac:dyDescent="0.3">
      <c r="A92" s="127" t="s">
        <v>324</v>
      </c>
      <c r="B92" s="110" t="s">
        <v>325</v>
      </c>
      <c r="C92" s="114" t="s">
        <v>326</v>
      </c>
      <c r="D92" s="2" t="s">
        <v>691</v>
      </c>
    </row>
    <row r="93" spans="1:4" s="121" customFormat="1" ht="57.6" outlineLevel="2" x14ac:dyDescent="0.3">
      <c r="A93" s="127" t="s">
        <v>327</v>
      </c>
      <c r="B93" s="110" t="s">
        <v>328</v>
      </c>
      <c r="C93" s="120" t="s">
        <v>329</v>
      </c>
      <c r="D93" s="145" t="s">
        <v>705</v>
      </c>
    </row>
    <row r="94" spans="1:4" ht="14.4" outlineLevel="1" x14ac:dyDescent="0.3">
      <c r="A94" s="127" t="s">
        <v>330</v>
      </c>
      <c r="B94" s="110" t="s">
        <v>331</v>
      </c>
      <c r="C94" s="115"/>
      <c r="D94" s="2"/>
    </row>
    <row r="95" spans="1:4" ht="86.4" outlineLevel="4" x14ac:dyDescent="0.3">
      <c r="A95" s="127" t="s">
        <v>332</v>
      </c>
      <c r="B95" s="110" t="s">
        <v>333</v>
      </c>
      <c r="C95" s="8" t="s">
        <v>334</v>
      </c>
      <c r="D95" s="2" t="s">
        <v>335</v>
      </c>
    </row>
    <row r="96" spans="1:4" ht="43.2" outlineLevel="4" x14ac:dyDescent="0.3">
      <c r="A96" s="127" t="s">
        <v>336</v>
      </c>
      <c r="B96" s="110" t="s">
        <v>337</v>
      </c>
      <c r="C96" s="8" t="s">
        <v>338</v>
      </c>
      <c r="D96" s="2" t="s">
        <v>689</v>
      </c>
    </row>
    <row r="97" spans="1:6" ht="129.6" outlineLevel="4" x14ac:dyDescent="0.3">
      <c r="A97" s="127" t="s">
        <v>339</v>
      </c>
      <c r="B97" s="110" t="s">
        <v>340</v>
      </c>
      <c r="C97" s="8" t="s">
        <v>341</v>
      </c>
      <c r="D97" s="2" t="s">
        <v>690</v>
      </c>
    </row>
    <row r="98" spans="1:6" ht="57.6" outlineLevel="4" x14ac:dyDescent="0.3">
      <c r="A98" s="127" t="s">
        <v>342</v>
      </c>
      <c r="B98" s="110" t="s">
        <v>343</v>
      </c>
      <c r="C98" s="114" t="s">
        <v>344</v>
      </c>
      <c r="D98" s="2" t="s">
        <v>688</v>
      </c>
    </row>
    <row r="99" spans="1:6" ht="115.2" outlineLevel="4" x14ac:dyDescent="0.3">
      <c r="A99" s="127" t="s">
        <v>345</v>
      </c>
      <c r="B99" s="110" t="s">
        <v>346</v>
      </c>
      <c r="C99" s="114" t="s">
        <v>347</v>
      </c>
      <c r="D99" s="2" t="s">
        <v>348</v>
      </c>
    </row>
    <row r="100" spans="1:6" ht="100.8" outlineLevel="4" x14ac:dyDescent="0.3">
      <c r="A100" s="127" t="s">
        <v>349</v>
      </c>
      <c r="B100" s="110" t="s">
        <v>350</v>
      </c>
      <c r="C100" s="8" t="s">
        <v>351</v>
      </c>
      <c r="D100" s="2" t="s">
        <v>352</v>
      </c>
    </row>
    <row r="101" spans="1:6" ht="14.4" x14ac:dyDescent="0.3">
      <c r="A101" s="122">
        <v>8</v>
      </c>
      <c r="B101" s="123" t="s">
        <v>353</v>
      </c>
      <c r="C101" s="123"/>
      <c r="D101" s="122"/>
    </row>
    <row r="102" spans="1:6" s="1" customFormat="1" ht="14.4" x14ac:dyDescent="0.3">
      <c r="A102" s="106" t="s">
        <v>583</v>
      </c>
      <c r="B102" s="110" t="s">
        <v>354</v>
      </c>
    </row>
    <row r="103" spans="1:6" ht="115.2" x14ac:dyDescent="0.3">
      <c r="A103" s="106" t="s">
        <v>355</v>
      </c>
      <c r="B103" s="110" t="s">
        <v>356</v>
      </c>
      <c r="C103" s="8" t="s">
        <v>357</v>
      </c>
      <c r="D103" s="106" t="s">
        <v>711</v>
      </c>
    </row>
    <row r="104" spans="1:6" ht="115.2" x14ac:dyDescent="0.3">
      <c r="A104" s="106" t="s">
        <v>358</v>
      </c>
      <c r="B104" s="110" t="s">
        <v>359</v>
      </c>
      <c r="C104" s="110" t="s">
        <v>360</v>
      </c>
      <c r="D104" s="106" t="s">
        <v>706</v>
      </c>
      <c r="F104" s="124"/>
    </row>
    <row r="105" spans="1:6" customFormat="1" ht="14.4" x14ac:dyDescent="0.3">
      <c r="A105" s="106" t="s">
        <v>585</v>
      </c>
      <c r="B105" s="110" t="s">
        <v>361</v>
      </c>
    </row>
    <row r="106" spans="1:6" ht="100.8" x14ac:dyDescent="0.3">
      <c r="A106" s="106" t="s">
        <v>362</v>
      </c>
      <c r="B106" s="110" t="s">
        <v>363</v>
      </c>
      <c r="C106" s="8" t="s">
        <v>364</v>
      </c>
      <c r="D106" s="106" t="s">
        <v>707</v>
      </c>
    </row>
    <row r="107" spans="1:6" ht="86.4" x14ac:dyDescent="0.3">
      <c r="A107" s="106" t="s">
        <v>365</v>
      </c>
      <c r="B107" s="110" t="s">
        <v>366</v>
      </c>
      <c r="C107" s="8" t="s">
        <v>367</v>
      </c>
      <c r="D107" s="106" t="s">
        <v>368</v>
      </c>
    </row>
    <row r="108" spans="1:6" ht="86.4" x14ac:dyDescent="0.3">
      <c r="A108" s="106" t="s">
        <v>369</v>
      </c>
      <c r="B108" s="110" t="s">
        <v>370</v>
      </c>
      <c r="C108" s="8" t="s">
        <v>371</v>
      </c>
      <c r="D108" s="106" t="s">
        <v>718</v>
      </c>
    </row>
    <row r="109" spans="1:6" s="1" customFormat="1" ht="14.4" x14ac:dyDescent="0.3">
      <c r="A109" s="106" t="s">
        <v>584</v>
      </c>
      <c r="B109" s="110" t="s">
        <v>372</v>
      </c>
    </row>
    <row r="110" spans="1:6" ht="86.4" x14ac:dyDescent="0.3">
      <c r="A110" s="106" t="s">
        <v>373</v>
      </c>
      <c r="B110" s="110" t="s">
        <v>374</v>
      </c>
      <c r="C110" s="8" t="s">
        <v>375</v>
      </c>
      <c r="D110" s="106" t="s">
        <v>376</v>
      </c>
    </row>
    <row r="111" spans="1:6" ht="86.4" x14ac:dyDescent="0.3">
      <c r="A111" s="106" t="s">
        <v>377</v>
      </c>
      <c r="B111" s="110" t="s">
        <v>378</v>
      </c>
      <c r="C111" s="8" t="s">
        <v>379</v>
      </c>
      <c r="D111" s="106" t="s">
        <v>710</v>
      </c>
    </row>
    <row r="112" spans="1:6" s="3" customFormat="1" ht="105" customHeight="1" x14ac:dyDescent="0.3">
      <c r="A112" s="106" t="s">
        <v>380</v>
      </c>
      <c r="B112" s="110" t="s">
        <v>381</v>
      </c>
      <c r="C112" s="6" t="s">
        <v>382</v>
      </c>
      <c r="D112" s="106" t="s">
        <v>709</v>
      </c>
    </row>
    <row r="113" spans="1:4" s="110" customFormat="1" ht="72" x14ac:dyDescent="0.3">
      <c r="A113" s="106" t="s">
        <v>383</v>
      </c>
      <c r="B113" s="110" t="s">
        <v>384</v>
      </c>
      <c r="C113" s="114" t="s">
        <v>385</v>
      </c>
      <c r="D113" s="1" t="s">
        <v>708</v>
      </c>
    </row>
    <row r="117" spans="1:4" ht="14.4" x14ac:dyDescent="0.3"/>
    <row r="118" spans="1:4" ht="14.4" x14ac:dyDescent="0.3"/>
    <row r="119" spans="1:4" ht="14.4" x14ac:dyDescent="0.3"/>
    <row r="120" spans="1:4" ht="14.4" x14ac:dyDescent="0.3"/>
    <row r="121" spans="1:4" ht="14.4" x14ac:dyDescent="0.3"/>
    <row r="122" spans="1:4" ht="14.4" x14ac:dyDescent="0.3"/>
    <row r="123" spans="1:4" ht="14.4" x14ac:dyDescent="0.3"/>
    <row r="124" spans="1:4" ht="14.4" x14ac:dyDescent="0.3"/>
    <row r="125" spans="1:4" ht="14.4" x14ac:dyDescent="0.3"/>
    <row r="126" spans="1:4" ht="14.4" x14ac:dyDescent="0.3"/>
    <row r="127" spans="1:4" ht="14.4" x14ac:dyDescent="0.3"/>
    <row r="128" spans="1:4" ht="14.4" x14ac:dyDescent="0.3"/>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82A5-4AC4-49B0-A96E-43700F772886}">
  <dimension ref="A1:G18"/>
  <sheetViews>
    <sheetView topLeftCell="A4" workbookViewId="0">
      <selection activeCell="A26" sqref="A26"/>
    </sheetView>
  </sheetViews>
  <sheetFormatPr defaultRowHeight="14.4" x14ac:dyDescent="0.3"/>
  <cols>
    <col min="1" max="1" width="59.88671875" customWidth="1"/>
    <col min="2" max="2" width="41.33203125" style="10" customWidth="1"/>
    <col min="3" max="3" width="15.44140625" customWidth="1"/>
  </cols>
  <sheetData>
    <row r="1" spans="1:7" x14ac:dyDescent="0.3">
      <c r="A1" t="s">
        <v>386</v>
      </c>
      <c r="C1" s="10"/>
    </row>
    <row r="2" spans="1:7" x14ac:dyDescent="0.3">
      <c r="C2" s="10"/>
    </row>
    <row r="3" spans="1:7" s="50" customFormat="1" x14ac:dyDescent="0.3">
      <c r="A3" s="50" t="s">
        <v>387</v>
      </c>
      <c r="B3" s="51" t="s">
        <v>388</v>
      </c>
      <c r="C3" s="52"/>
    </row>
    <row r="4" spans="1:7" s="50" customFormat="1" x14ac:dyDescent="0.3">
      <c r="A4" s="50" t="s">
        <v>389</v>
      </c>
      <c r="B4" s="51" t="s">
        <v>390</v>
      </c>
      <c r="C4" s="52"/>
    </row>
    <row r="5" spans="1:7" s="50" customFormat="1" ht="28.8" x14ac:dyDescent="0.3">
      <c r="A5" s="53" t="s">
        <v>391</v>
      </c>
      <c r="B5" s="56" t="s">
        <v>392</v>
      </c>
      <c r="C5" s="52"/>
    </row>
    <row r="6" spans="1:7" x14ac:dyDescent="0.3">
      <c r="A6" s="142" t="s">
        <v>393</v>
      </c>
      <c r="B6" s="147" t="s">
        <v>394</v>
      </c>
      <c r="C6" s="148"/>
      <c r="D6" s="146"/>
      <c r="E6" s="146"/>
      <c r="F6" s="146"/>
      <c r="G6" s="146"/>
    </row>
    <row r="7" spans="1:7" x14ac:dyDescent="0.3">
      <c r="A7" s="142" t="s">
        <v>395</v>
      </c>
      <c r="B7" s="147"/>
      <c r="C7" s="148"/>
      <c r="D7" s="146"/>
      <c r="E7" s="146"/>
      <c r="F7" s="146"/>
      <c r="G7" s="146"/>
    </row>
    <row r="8" spans="1:7" x14ac:dyDescent="0.3">
      <c r="A8" s="146" t="s">
        <v>396</v>
      </c>
      <c r="B8" s="147" t="s">
        <v>397</v>
      </c>
      <c r="C8" s="148"/>
      <c r="D8" s="146"/>
      <c r="E8" s="146"/>
      <c r="F8" s="146"/>
      <c r="G8" s="146"/>
    </row>
    <row r="9" spans="1:7" ht="43.2" x14ac:dyDescent="0.3">
      <c r="A9" s="142" t="s">
        <v>398</v>
      </c>
      <c r="B9" s="147" t="s">
        <v>394</v>
      </c>
      <c r="C9" s="148"/>
      <c r="D9" s="146"/>
      <c r="E9" s="146"/>
      <c r="F9" s="146"/>
      <c r="G9" s="146"/>
    </row>
    <row r="10" spans="1:7" ht="28.8" x14ac:dyDescent="0.3">
      <c r="A10" s="8" t="s">
        <v>399</v>
      </c>
      <c r="B10" s="5" t="s">
        <v>400</v>
      </c>
      <c r="C10" s="10"/>
    </row>
    <row r="11" spans="1:7" s="50" customFormat="1" x14ac:dyDescent="0.3">
      <c r="A11" s="53" t="s">
        <v>401</v>
      </c>
      <c r="B11" s="51" t="s">
        <v>402</v>
      </c>
      <c r="C11" s="52"/>
    </row>
    <row r="12" spans="1:7" x14ac:dyDescent="0.3">
      <c r="A12" t="s">
        <v>403</v>
      </c>
      <c r="B12" s="5" t="s">
        <v>397</v>
      </c>
      <c r="C12" s="10"/>
    </row>
    <row r="13" spans="1:7" s="50" customFormat="1" x14ac:dyDescent="0.3">
      <c r="A13" s="50" t="s">
        <v>404</v>
      </c>
      <c r="B13" s="51" t="s">
        <v>397</v>
      </c>
      <c r="C13" s="52"/>
    </row>
    <row r="14" spans="1:7" x14ac:dyDescent="0.3">
      <c r="A14" t="s">
        <v>405</v>
      </c>
      <c r="B14" s="5" t="s">
        <v>406</v>
      </c>
      <c r="C14" s="10"/>
    </row>
    <row r="15" spans="1:7" x14ac:dyDescent="0.3">
      <c r="A15" t="s">
        <v>407</v>
      </c>
      <c r="C15" s="10"/>
    </row>
    <row r="16" spans="1:7" x14ac:dyDescent="0.3">
      <c r="A16" t="s">
        <v>408</v>
      </c>
      <c r="C16" s="10"/>
    </row>
    <row r="17" spans="1:3" x14ac:dyDescent="0.3">
      <c r="A17" t="s">
        <v>409</v>
      </c>
      <c r="C17" s="10"/>
    </row>
    <row r="18" spans="1:3" x14ac:dyDescent="0.3">
      <c r="A18" t="s">
        <v>410</v>
      </c>
      <c r="C18"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7F09-513F-43C1-8AA3-80D02FA48E00}">
  <dimension ref="A1:G43"/>
  <sheetViews>
    <sheetView zoomScale="73" workbookViewId="0">
      <selection activeCell="B24" sqref="B24"/>
    </sheetView>
  </sheetViews>
  <sheetFormatPr defaultRowHeight="14.4" x14ac:dyDescent="0.3"/>
  <cols>
    <col min="1" max="1" width="30.109375" customWidth="1"/>
    <col min="2" max="2" width="36" customWidth="1"/>
    <col min="3" max="3" width="30.5546875" customWidth="1"/>
    <col min="4" max="4" width="36.6640625" customWidth="1"/>
    <col min="5" max="5" width="25.88671875" style="5" customWidth="1"/>
    <col min="6" max="6" width="24" customWidth="1"/>
    <col min="7" max="7" width="46.33203125" customWidth="1"/>
  </cols>
  <sheetData>
    <row r="1" spans="1:7" x14ac:dyDescent="0.3">
      <c r="A1" t="s">
        <v>586</v>
      </c>
      <c r="B1" t="s">
        <v>411</v>
      </c>
      <c r="C1" t="s">
        <v>412</v>
      </c>
      <c r="D1" t="s">
        <v>413</v>
      </c>
    </row>
    <row r="2" spans="1:7" x14ac:dyDescent="0.3">
      <c r="A2" t="s">
        <v>414</v>
      </c>
      <c r="G2" s="3"/>
    </row>
    <row r="3" spans="1:7" x14ac:dyDescent="0.3">
      <c r="G3" s="3"/>
    </row>
    <row r="4" spans="1:7" x14ac:dyDescent="0.3">
      <c r="B4" s="3" t="s">
        <v>415</v>
      </c>
      <c r="G4" s="3"/>
    </row>
    <row r="5" spans="1:7" x14ac:dyDescent="0.3">
      <c r="B5" s="3"/>
      <c r="C5" s="3" t="s">
        <v>416</v>
      </c>
      <c r="G5" s="3"/>
    </row>
    <row r="6" spans="1:7" x14ac:dyDescent="0.3">
      <c r="B6" s="3"/>
      <c r="C6" s="3" t="s">
        <v>417</v>
      </c>
      <c r="G6" s="3"/>
    </row>
    <row r="7" spans="1:7" x14ac:dyDescent="0.3">
      <c r="B7" s="3"/>
      <c r="C7" s="3" t="s">
        <v>418</v>
      </c>
      <c r="G7" s="3"/>
    </row>
    <row r="8" spans="1:7" x14ac:dyDescent="0.3">
      <c r="B8" t="s">
        <v>419</v>
      </c>
      <c r="F8" s="3"/>
      <c r="G8" s="3"/>
    </row>
    <row r="9" spans="1:7" x14ac:dyDescent="0.3">
      <c r="C9" t="s">
        <v>420</v>
      </c>
      <c r="F9" s="3"/>
      <c r="G9" s="3"/>
    </row>
    <row r="10" spans="1:7" x14ac:dyDescent="0.3">
      <c r="D10" t="s">
        <v>421</v>
      </c>
      <c r="F10" s="3"/>
      <c r="G10" s="3"/>
    </row>
    <row r="11" spans="1:7" x14ac:dyDescent="0.3">
      <c r="D11" t="s">
        <v>422</v>
      </c>
      <c r="F11" s="3"/>
      <c r="G11" s="3"/>
    </row>
    <row r="12" spans="1:7" x14ac:dyDescent="0.3">
      <c r="D12" t="s">
        <v>423</v>
      </c>
      <c r="F12" s="3"/>
      <c r="G12" s="3"/>
    </row>
    <row r="13" spans="1:7" x14ac:dyDescent="0.3">
      <c r="C13" t="s">
        <v>424</v>
      </c>
      <c r="F13" s="3"/>
      <c r="G13" s="3"/>
    </row>
    <row r="14" spans="1:7" x14ac:dyDescent="0.3">
      <c r="C14" t="s">
        <v>425</v>
      </c>
      <c r="F14" s="3"/>
      <c r="G14" s="3"/>
    </row>
    <row r="15" spans="1:7" x14ac:dyDescent="0.3">
      <c r="C15" s="4"/>
      <c r="F15" s="3"/>
      <c r="G15" s="3"/>
    </row>
    <row r="16" spans="1:7" x14ac:dyDescent="0.3">
      <c r="C16" s="3"/>
      <c r="F16" s="3"/>
      <c r="G16" s="3"/>
    </row>
    <row r="17" spans="2:7" x14ac:dyDescent="0.3">
      <c r="B17" t="s">
        <v>426</v>
      </c>
      <c r="F17" s="3"/>
    </row>
    <row r="18" spans="2:7" x14ac:dyDescent="0.3">
      <c r="C18" s="3" t="s">
        <v>427</v>
      </c>
      <c r="D18" s="3"/>
      <c r="F18" s="3"/>
    </row>
    <row r="19" spans="2:7" x14ac:dyDescent="0.3">
      <c r="B19" t="s">
        <v>428</v>
      </c>
      <c r="D19" s="3"/>
    </row>
    <row r="20" spans="2:7" x14ac:dyDescent="0.3">
      <c r="C20" s="3" t="s">
        <v>429</v>
      </c>
    </row>
    <row r="21" spans="2:7" x14ac:dyDescent="0.3">
      <c r="C21" s="4" t="s">
        <v>430</v>
      </c>
    </row>
    <row r="23" spans="2:7" x14ac:dyDescent="0.3">
      <c r="B23" t="s">
        <v>431</v>
      </c>
    </row>
    <row r="24" spans="2:7" x14ac:dyDescent="0.3">
      <c r="C24" t="s">
        <v>432</v>
      </c>
    </row>
    <row r="25" spans="2:7" x14ac:dyDescent="0.3">
      <c r="D25" t="s">
        <v>433</v>
      </c>
    </row>
    <row r="26" spans="2:7" x14ac:dyDescent="0.3">
      <c r="D26" t="s">
        <v>434</v>
      </c>
      <c r="G26" s="3"/>
    </row>
    <row r="27" spans="2:7" x14ac:dyDescent="0.3">
      <c r="C27" s="3" t="s">
        <v>435</v>
      </c>
      <c r="G27" s="3"/>
    </row>
    <row r="28" spans="2:7" x14ac:dyDescent="0.3">
      <c r="G28" s="3"/>
    </row>
    <row r="29" spans="2:7" x14ac:dyDescent="0.3">
      <c r="B29" t="s">
        <v>436</v>
      </c>
      <c r="G29" s="3"/>
    </row>
    <row r="30" spans="2:7" x14ac:dyDescent="0.3">
      <c r="C30" t="s">
        <v>437</v>
      </c>
      <c r="G30" s="3"/>
    </row>
    <row r="31" spans="2:7" ht="13.2" customHeight="1" x14ac:dyDescent="0.3">
      <c r="G31" s="3"/>
    </row>
    <row r="38" spans="7:7" x14ac:dyDescent="0.3">
      <c r="G38" s="3"/>
    </row>
    <row r="42" spans="7:7" x14ac:dyDescent="0.3">
      <c r="G42" s="3"/>
    </row>
    <row r="43" spans="7:7" x14ac:dyDescent="0.3">
      <c r="G43" s="3"/>
    </row>
  </sheetData>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28D07-1FBA-4D62-93EC-FB4FBD3213D9}">
  <dimension ref="A1:D129"/>
  <sheetViews>
    <sheetView tabSelected="1" topLeftCell="A12" zoomScale="73" workbookViewId="0">
      <selection activeCell="C39" sqref="C39"/>
    </sheetView>
  </sheetViews>
  <sheetFormatPr defaultRowHeight="14.4" x14ac:dyDescent="0.3"/>
  <cols>
    <col min="2" max="3" width="50.33203125" customWidth="1"/>
  </cols>
  <sheetData>
    <row r="1" spans="1:4" ht="46.95" customHeight="1" thickBot="1" x14ac:dyDescent="0.35">
      <c r="A1" s="87" t="s">
        <v>83</v>
      </c>
      <c r="B1" s="57" t="s">
        <v>84</v>
      </c>
      <c r="C1" s="57" t="s">
        <v>438</v>
      </c>
    </row>
    <row r="2" spans="1:4" ht="46.95" customHeight="1" x14ac:dyDescent="0.3">
      <c r="A2" s="88">
        <v>1</v>
      </c>
      <c r="B2" s="58" t="s">
        <v>87</v>
      </c>
      <c r="C2" s="58"/>
    </row>
    <row r="3" spans="1:4" ht="46.95" customHeight="1" x14ac:dyDescent="0.3">
      <c r="A3" s="89" t="s">
        <v>88</v>
      </c>
      <c r="B3" s="60" t="s">
        <v>89</v>
      </c>
      <c r="C3" s="60"/>
    </row>
    <row r="4" spans="1:4" ht="46.95" customHeight="1" x14ac:dyDescent="0.3">
      <c r="A4" s="90" t="s">
        <v>90</v>
      </c>
      <c r="B4" s="62" t="s">
        <v>91</v>
      </c>
      <c r="C4" s="62" t="s">
        <v>417</v>
      </c>
      <c r="D4" s="55"/>
    </row>
    <row r="5" spans="1:4" ht="46.95" customHeight="1" x14ac:dyDescent="0.3">
      <c r="A5" s="89" t="s">
        <v>93</v>
      </c>
      <c r="B5" s="60" t="s">
        <v>94</v>
      </c>
      <c r="C5" s="60" t="s">
        <v>416</v>
      </c>
    </row>
    <row r="6" spans="1:4" ht="46.95" customHeight="1" x14ac:dyDescent="0.3">
      <c r="A6" s="90" t="s">
        <v>95</v>
      </c>
      <c r="B6" s="62" t="s">
        <v>96</v>
      </c>
      <c r="C6" s="62" t="s">
        <v>425</v>
      </c>
    </row>
    <row r="7" spans="1:4" ht="46.95" customHeight="1" x14ac:dyDescent="0.3">
      <c r="A7" s="89" t="s">
        <v>97</v>
      </c>
      <c r="B7" s="60" t="s">
        <v>98</v>
      </c>
      <c r="C7" s="60"/>
    </row>
    <row r="8" spans="1:4" ht="46.95" customHeight="1" x14ac:dyDescent="0.3">
      <c r="A8" s="90" t="s">
        <v>99</v>
      </c>
      <c r="B8" s="62" t="s">
        <v>100</v>
      </c>
      <c r="C8" s="62" t="s">
        <v>418</v>
      </c>
    </row>
    <row r="9" spans="1:4" ht="46.95" customHeight="1" x14ac:dyDescent="0.3">
      <c r="A9" s="89" t="s">
        <v>101</v>
      </c>
      <c r="B9" s="60" t="s">
        <v>102</v>
      </c>
      <c r="C9" s="60" t="s">
        <v>418</v>
      </c>
    </row>
    <row r="10" spans="1:4" ht="46.95" customHeight="1" x14ac:dyDescent="0.3">
      <c r="A10" s="90" t="s">
        <v>103</v>
      </c>
      <c r="B10" s="62" t="s">
        <v>104</v>
      </c>
      <c r="C10" s="62" t="s">
        <v>439</v>
      </c>
    </row>
    <row r="11" spans="1:4" ht="46.95" customHeight="1" x14ac:dyDescent="0.3">
      <c r="A11" s="89" t="s">
        <v>106</v>
      </c>
      <c r="B11" s="60" t="s">
        <v>107</v>
      </c>
      <c r="C11" s="60" t="s">
        <v>440</v>
      </c>
    </row>
    <row r="12" spans="1:4" ht="46.95" customHeight="1" x14ac:dyDescent="0.3">
      <c r="A12" s="88">
        <v>2</v>
      </c>
      <c r="B12" s="58" t="s">
        <v>108</v>
      </c>
      <c r="C12" s="58"/>
    </row>
    <row r="13" spans="1:4" ht="46.95" customHeight="1" x14ac:dyDescent="0.3">
      <c r="A13" s="91" t="s">
        <v>109</v>
      </c>
      <c r="B13" s="60" t="s">
        <v>110</v>
      </c>
      <c r="C13" s="60"/>
    </row>
    <row r="14" spans="1:4" ht="46.95" customHeight="1" x14ac:dyDescent="0.3">
      <c r="A14" s="92" t="s">
        <v>111</v>
      </c>
      <c r="B14" s="65" t="s">
        <v>112</v>
      </c>
      <c r="C14" s="65"/>
    </row>
    <row r="15" spans="1:4" ht="46.95" customHeight="1" x14ac:dyDescent="0.3">
      <c r="A15" s="89" t="s">
        <v>113</v>
      </c>
      <c r="B15" s="60" t="s">
        <v>114</v>
      </c>
      <c r="C15" s="60" t="s">
        <v>424</v>
      </c>
    </row>
    <row r="16" spans="1:4" ht="46.95" customHeight="1" x14ac:dyDescent="0.3">
      <c r="A16" s="92" t="s">
        <v>116</v>
      </c>
      <c r="B16" s="65" t="s">
        <v>117</v>
      </c>
      <c r="C16" s="65" t="s">
        <v>441</v>
      </c>
    </row>
    <row r="17" spans="1:3" ht="46.95" customHeight="1" x14ac:dyDescent="0.3">
      <c r="A17" s="91" t="s">
        <v>119</v>
      </c>
      <c r="B17" s="60" t="s">
        <v>120</v>
      </c>
      <c r="C17" s="60"/>
    </row>
    <row r="18" spans="1:3" ht="46.95" customHeight="1" x14ac:dyDescent="0.3">
      <c r="A18" s="92" t="s">
        <v>121</v>
      </c>
      <c r="B18" s="65" t="s">
        <v>122</v>
      </c>
      <c r="C18" s="65" t="s">
        <v>424</v>
      </c>
    </row>
    <row r="19" spans="1:3" ht="46.95" customHeight="1" x14ac:dyDescent="0.3">
      <c r="A19" s="91" t="s">
        <v>124</v>
      </c>
      <c r="B19" s="66" t="s">
        <v>125</v>
      </c>
      <c r="C19" s="66" t="s">
        <v>424</v>
      </c>
    </row>
    <row r="20" spans="1:3" ht="46.95" customHeight="1" x14ac:dyDescent="0.3">
      <c r="A20" s="92" t="s">
        <v>127</v>
      </c>
      <c r="B20" s="65" t="s">
        <v>128</v>
      </c>
      <c r="C20" s="65" t="s">
        <v>424</v>
      </c>
    </row>
    <row r="21" spans="1:3" ht="46.95" customHeight="1" x14ac:dyDescent="0.3">
      <c r="A21" s="91" t="s">
        <v>130</v>
      </c>
      <c r="B21" s="66" t="s">
        <v>131</v>
      </c>
      <c r="C21" s="66" t="s">
        <v>440</v>
      </c>
    </row>
    <row r="22" spans="1:3" ht="46.95" customHeight="1" x14ac:dyDescent="0.3">
      <c r="A22" s="92" t="s">
        <v>134</v>
      </c>
      <c r="B22" s="65" t="s">
        <v>135</v>
      </c>
      <c r="C22" s="65" t="s">
        <v>424</v>
      </c>
    </row>
    <row r="23" spans="1:3" ht="46.95" customHeight="1" x14ac:dyDescent="0.3">
      <c r="A23" s="91" t="s">
        <v>137</v>
      </c>
      <c r="B23" s="66" t="s">
        <v>138</v>
      </c>
      <c r="C23" s="66"/>
    </row>
    <row r="24" spans="1:3" ht="46.95" customHeight="1" x14ac:dyDescent="0.3">
      <c r="A24" s="92" t="s">
        <v>139</v>
      </c>
      <c r="B24" s="65" t="s">
        <v>140</v>
      </c>
      <c r="C24" s="65"/>
    </row>
    <row r="25" spans="1:3" ht="46.95" customHeight="1" x14ac:dyDescent="0.3">
      <c r="A25" s="91" t="s">
        <v>141</v>
      </c>
      <c r="B25" s="66" t="s">
        <v>142</v>
      </c>
      <c r="C25" s="66" t="s">
        <v>421</v>
      </c>
    </row>
    <row r="26" spans="1:3" ht="46.95" customHeight="1" x14ac:dyDescent="0.3">
      <c r="A26" s="92" t="s">
        <v>144</v>
      </c>
      <c r="B26" s="65" t="s">
        <v>145</v>
      </c>
      <c r="C26" s="65" t="s">
        <v>421</v>
      </c>
    </row>
    <row r="27" spans="1:3" ht="46.95" customHeight="1" x14ac:dyDescent="0.3">
      <c r="A27" s="91" t="s">
        <v>147</v>
      </c>
      <c r="B27" s="66" t="s">
        <v>148</v>
      </c>
      <c r="C27" s="66" t="s">
        <v>421</v>
      </c>
    </row>
    <row r="28" spans="1:3" ht="46.95" customHeight="1" x14ac:dyDescent="0.3">
      <c r="A28" s="92" t="s">
        <v>150</v>
      </c>
      <c r="B28" s="65" t="s">
        <v>151</v>
      </c>
      <c r="C28" s="65"/>
    </row>
    <row r="29" spans="1:3" ht="46.95" customHeight="1" x14ac:dyDescent="0.3">
      <c r="A29" s="91" t="s">
        <v>152</v>
      </c>
      <c r="B29" s="66" t="s">
        <v>153</v>
      </c>
      <c r="C29" s="66" t="s">
        <v>422</v>
      </c>
    </row>
    <row r="30" spans="1:3" ht="46.95" customHeight="1" x14ac:dyDescent="0.3">
      <c r="A30" s="92" t="s">
        <v>155</v>
      </c>
      <c r="B30" s="65" t="s">
        <v>156</v>
      </c>
      <c r="C30" s="65" t="s">
        <v>422</v>
      </c>
    </row>
    <row r="31" spans="1:3" ht="46.95" customHeight="1" x14ac:dyDescent="0.3">
      <c r="A31" s="91" t="s">
        <v>158</v>
      </c>
      <c r="B31" s="66" t="s">
        <v>159</v>
      </c>
      <c r="C31" s="66" t="s">
        <v>423</v>
      </c>
    </row>
    <row r="32" spans="1:3" ht="46.95" customHeight="1" x14ac:dyDescent="0.3">
      <c r="A32" s="92" t="s">
        <v>161</v>
      </c>
      <c r="B32" s="65" t="s">
        <v>131</v>
      </c>
      <c r="C32" s="65" t="s">
        <v>440</v>
      </c>
    </row>
    <row r="33" spans="1:3" ht="46.95" customHeight="1" x14ac:dyDescent="0.3">
      <c r="A33" s="91" t="s">
        <v>163</v>
      </c>
      <c r="B33" s="66" t="s">
        <v>135</v>
      </c>
      <c r="C33" s="66" t="s">
        <v>442</v>
      </c>
    </row>
    <row r="34" spans="1:3" ht="46.95" customHeight="1" x14ac:dyDescent="0.3">
      <c r="A34" s="88">
        <v>3</v>
      </c>
      <c r="B34" s="58" t="s">
        <v>165</v>
      </c>
      <c r="C34" s="58"/>
    </row>
    <row r="35" spans="1:3" ht="46.95" customHeight="1" x14ac:dyDescent="0.3">
      <c r="A35" s="91" t="s">
        <v>166</v>
      </c>
      <c r="B35" s="66" t="s">
        <v>167</v>
      </c>
      <c r="C35" s="66"/>
    </row>
    <row r="36" spans="1:3" ht="46.95" customHeight="1" x14ac:dyDescent="0.3">
      <c r="A36" s="90" t="s">
        <v>168</v>
      </c>
      <c r="B36" s="65" t="s">
        <v>169</v>
      </c>
      <c r="C36" s="65" t="s">
        <v>429</v>
      </c>
    </row>
    <row r="37" spans="1:3" ht="46.95" customHeight="1" x14ac:dyDescent="0.3">
      <c r="A37" s="91" t="s">
        <v>171</v>
      </c>
      <c r="B37" s="66" t="s">
        <v>172</v>
      </c>
      <c r="C37" s="66" t="s">
        <v>429</v>
      </c>
    </row>
    <row r="38" spans="1:3" ht="46.95" customHeight="1" x14ac:dyDescent="0.3">
      <c r="A38" s="92" t="s">
        <v>174</v>
      </c>
      <c r="B38" s="65" t="s">
        <v>175</v>
      </c>
      <c r="C38" s="65"/>
    </row>
    <row r="39" spans="1:3" ht="46.95" customHeight="1" x14ac:dyDescent="0.3">
      <c r="A39" s="91" t="s">
        <v>176</v>
      </c>
      <c r="B39" s="60" t="s">
        <v>177</v>
      </c>
      <c r="C39" s="60" t="s">
        <v>429</v>
      </c>
    </row>
    <row r="40" spans="1:3" ht="46.95" customHeight="1" x14ac:dyDescent="0.3">
      <c r="A40" s="92" t="s">
        <v>179</v>
      </c>
      <c r="B40" s="62" t="s">
        <v>180</v>
      </c>
      <c r="C40" s="62" t="s">
        <v>440</v>
      </c>
    </row>
    <row r="41" spans="1:3" ht="46.95" customHeight="1" x14ac:dyDescent="0.3">
      <c r="A41" s="91" t="s">
        <v>182</v>
      </c>
      <c r="B41" s="66" t="s">
        <v>183</v>
      </c>
      <c r="C41" s="66" t="s">
        <v>430</v>
      </c>
    </row>
    <row r="42" spans="1:3" ht="46.95" customHeight="1" x14ac:dyDescent="0.3">
      <c r="A42" s="93">
        <v>4</v>
      </c>
      <c r="B42" s="67" t="s">
        <v>185</v>
      </c>
      <c r="C42" s="67"/>
    </row>
    <row r="43" spans="1:3" ht="46.95" customHeight="1" x14ac:dyDescent="0.3">
      <c r="A43" s="94" t="s">
        <v>186</v>
      </c>
      <c r="B43" s="68" t="s">
        <v>187</v>
      </c>
      <c r="C43" s="68"/>
    </row>
    <row r="44" spans="1:3" ht="46.95" customHeight="1" x14ac:dyDescent="0.3">
      <c r="A44" s="95" t="s">
        <v>188</v>
      </c>
      <c r="B44" s="69" t="s">
        <v>189</v>
      </c>
      <c r="C44" s="69" t="s">
        <v>435</v>
      </c>
    </row>
    <row r="45" spans="1:3" ht="46.95" customHeight="1" x14ac:dyDescent="0.3">
      <c r="A45" s="94" t="s">
        <v>191</v>
      </c>
      <c r="B45" s="68" t="s">
        <v>192</v>
      </c>
      <c r="C45" s="68" t="s">
        <v>443</v>
      </c>
    </row>
    <row r="46" spans="1:3" ht="46.95" customHeight="1" x14ac:dyDescent="0.3">
      <c r="A46" s="95" t="s">
        <v>194</v>
      </c>
      <c r="B46" s="69" t="s">
        <v>195</v>
      </c>
      <c r="C46" s="69"/>
    </row>
    <row r="47" spans="1:3" ht="46.95" customHeight="1" x14ac:dyDescent="0.3">
      <c r="A47" s="94" t="s">
        <v>196</v>
      </c>
      <c r="B47" s="68" t="s">
        <v>197</v>
      </c>
      <c r="C47" s="68" t="s">
        <v>443</v>
      </c>
    </row>
    <row r="48" spans="1:3" ht="46.95" customHeight="1" x14ac:dyDescent="0.3">
      <c r="A48" s="95" t="s">
        <v>199</v>
      </c>
      <c r="B48" s="69" t="s">
        <v>200</v>
      </c>
      <c r="C48" s="69" t="s">
        <v>443</v>
      </c>
    </row>
    <row r="49" spans="1:3" ht="46.95" customHeight="1" x14ac:dyDescent="0.3">
      <c r="A49" s="94" t="s">
        <v>202</v>
      </c>
      <c r="B49" s="68" t="s">
        <v>203</v>
      </c>
      <c r="C49" s="68" t="s">
        <v>444</v>
      </c>
    </row>
    <row r="50" spans="1:3" ht="46.95" customHeight="1" x14ac:dyDescent="0.3">
      <c r="A50" s="95" t="s">
        <v>205</v>
      </c>
      <c r="B50" s="69" t="s">
        <v>206</v>
      </c>
      <c r="C50" s="69"/>
    </row>
    <row r="51" spans="1:3" ht="46.95" customHeight="1" x14ac:dyDescent="0.3">
      <c r="A51" s="94" t="s">
        <v>207</v>
      </c>
      <c r="B51" s="68" t="s">
        <v>208</v>
      </c>
      <c r="C51" s="68"/>
    </row>
    <row r="52" spans="1:3" ht="46.95" customHeight="1" x14ac:dyDescent="0.3">
      <c r="A52" s="95" t="s">
        <v>209</v>
      </c>
      <c r="B52" s="69" t="s">
        <v>210</v>
      </c>
      <c r="C52" s="69" t="s">
        <v>435</v>
      </c>
    </row>
    <row r="53" spans="1:3" ht="46.95" customHeight="1" x14ac:dyDescent="0.3">
      <c r="A53" s="94" t="s">
        <v>212</v>
      </c>
      <c r="B53" s="68" t="s">
        <v>213</v>
      </c>
      <c r="C53" s="68" t="s">
        <v>435</v>
      </c>
    </row>
    <row r="54" spans="1:3" ht="46.95" customHeight="1" x14ac:dyDescent="0.3">
      <c r="A54" s="95" t="s">
        <v>215</v>
      </c>
      <c r="B54" s="69" t="s">
        <v>216</v>
      </c>
      <c r="C54" s="69"/>
    </row>
    <row r="55" spans="1:3" ht="46.95" customHeight="1" x14ac:dyDescent="0.3">
      <c r="A55" s="94" t="s">
        <v>217</v>
      </c>
      <c r="B55" s="68" t="s">
        <v>218</v>
      </c>
      <c r="C55" s="68" t="s">
        <v>435</v>
      </c>
    </row>
    <row r="56" spans="1:3" ht="46.95" customHeight="1" x14ac:dyDescent="0.3">
      <c r="A56" s="95" t="s">
        <v>220</v>
      </c>
      <c r="B56" s="69" t="s">
        <v>221</v>
      </c>
      <c r="C56" s="69" t="s">
        <v>435</v>
      </c>
    </row>
    <row r="57" spans="1:3" ht="46.95" customHeight="1" x14ac:dyDescent="0.3">
      <c r="A57" s="94" t="s">
        <v>223</v>
      </c>
      <c r="B57" s="68" t="s">
        <v>224</v>
      </c>
      <c r="C57" s="68" t="s">
        <v>435</v>
      </c>
    </row>
    <row r="58" spans="1:3" ht="46.95" customHeight="1" x14ac:dyDescent="0.3">
      <c r="A58" s="95" t="s">
        <v>226</v>
      </c>
      <c r="B58" s="69" t="s">
        <v>227</v>
      </c>
      <c r="C58" s="69" t="s">
        <v>435</v>
      </c>
    </row>
    <row r="59" spans="1:3" ht="46.95" customHeight="1" x14ac:dyDescent="0.3">
      <c r="A59" s="94" t="s">
        <v>229</v>
      </c>
      <c r="B59" s="68" t="s">
        <v>230</v>
      </c>
      <c r="C59" s="68"/>
    </row>
    <row r="60" spans="1:3" ht="46.95" customHeight="1" x14ac:dyDescent="0.3">
      <c r="A60" s="95" t="s">
        <v>231</v>
      </c>
      <c r="B60" s="69" t="s">
        <v>232</v>
      </c>
      <c r="C60" s="69" t="s">
        <v>435</v>
      </c>
    </row>
    <row r="61" spans="1:3" ht="46.95" customHeight="1" x14ac:dyDescent="0.3">
      <c r="A61" s="94" t="s">
        <v>235</v>
      </c>
      <c r="B61" s="68" t="s">
        <v>236</v>
      </c>
      <c r="C61" s="68" t="s">
        <v>435</v>
      </c>
    </row>
    <row r="62" spans="1:3" ht="46.95" customHeight="1" x14ac:dyDescent="0.3">
      <c r="A62" s="95" t="s">
        <v>239</v>
      </c>
      <c r="B62" s="69" t="s">
        <v>240</v>
      </c>
      <c r="C62" s="69" t="s">
        <v>435</v>
      </c>
    </row>
    <row r="63" spans="1:3" ht="46.95" customHeight="1" x14ac:dyDescent="0.3">
      <c r="A63" s="94" t="s">
        <v>242</v>
      </c>
      <c r="B63" s="68" t="s">
        <v>243</v>
      </c>
      <c r="C63" s="68" t="s">
        <v>435</v>
      </c>
    </row>
    <row r="64" spans="1:3" ht="46.95" customHeight="1" x14ac:dyDescent="0.3">
      <c r="A64" s="95" t="s">
        <v>245</v>
      </c>
      <c r="B64" s="69" t="s">
        <v>246</v>
      </c>
      <c r="C64" s="69" t="s">
        <v>435</v>
      </c>
    </row>
    <row r="65" spans="1:3" ht="46.95" customHeight="1" x14ac:dyDescent="0.3">
      <c r="A65" s="88">
        <v>5</v>
      </c>
      <c r="B65" s="58" t="s">
        <v>248</v>
      </c>
      <c r="C65" s="58"/>
    </row>
    <row r="66" spans="1:3" ht="46.95" customHeight="1" x14ac:dyDescent="0.3">
      <c r="A66" s="92" t="s">
        <v>249</v>
      </c>
      <c r="B66" s="65" t="s">
        <v>250</v>
      </c>
      <c r="C66" s="65" t="s">
        <v>445</v>
      </c>
    </row>
    <row r="67" spans="1:3" ht="46.95" customHeight="1" x14ac:dyDescent="0.3">
      <c r="A67" s="91" t="s">
        <v>253</v>
      </c>
      <c r="B67" s="66" t="s">
        <v>581</v>
      </c>
      <c r="C67" s="66" t="s">
        <v>445</v>
      </c>
    </row>
    <row r="68" spans="1:3" ht="46.95" customHeight="1" x14ac:dyDescent="0.3">
      <c r="A68" s="92" t="s">
        <v>255</v>
      </c>
      <c r="B68" s="65" t="s">
        <v>580</v>
      </c>
      <c r="C68" s="65" t="s">
        <v>445</v>
      </c>
    </row>
    <row r="69" spans="1:3" ht="46.95" customHeight="1" x14ac:dyDescent="0.3">
      <c r="A69" s="88">
        <v>6</v>
      </c>
      <c r="B69" s="58" t="s">
        <v>257</v>
      </c>
      <c r="C69" s="58"/>
    </row>
    <row r="70" spans="1:3" ht="46.95" customHeight="1" x14ac:dyDescent="0.3">
      <c r="A70" s="97" t="s">
        <v>258</v>
      </c>
      <c r="B70" s="70" t="s">
        <v>259</v>
      </c>
      <c r="C70" s="70"/>
    </row>
    <row r="71" spans="1:3" ht="46.95" customHeight="1" x14ac:dyDescent="0.3">
      <c r="A71" s="96" t="s">
        <v>526</v>
      </c>
      <c r="B71" s="71" t="s">
        <v>527</v>
      </c>
      <c r="C71" s="71" t="s">
        <v>446</v>
      </c>
    </row>
    <row r="72" spans="1:3" ht="46.95" customHeight="1" x14ac:dyDescent="0.3">
      <c r="A72" s="97" t="s">
        <v>528</v>
      </c>
      <c r="B72" s="70" t="s">
        <v>529</v>
      </c>
      <c r="C72" s="70" t="s">
        <v>446</v>
      </c>
    </row>
    <row r="73" spans="1:3" ht="46.95" customHeight="1" x14ac:dyDescent="0.3">
      <c r="A73" s="96" t="s">
        <v>530</v>
      </c>
      <c r="B73" s="71" t="s">
        <v>531</v>
      </c>
      <c r="C73" s="71" t="s">
        <v>446</v>
      </c>
    </row>
    <row r="74" spans="1:3" ht="46.95" customHeight="1" x14ac:dyDescent="0.3">
      <c r="A74" s="97" t="s">
        <v>532</v>
      </c>
      <c r="B74" s="70" t="s">
        <v>533</v>
      </c>
      <c r="C74" s="70" t="s">
        <v>446</v>
      </c>
    </row>
    <row r="75" spans="1:3" ht="46.95" customHeight="1" x14ac:dyDescent="0.3">
      <c r="A75" s="96" t="s">
        <v>534</v>
      </c>
      <c r="B75" s="71" t="s">
        <v>535</v>
      </c>
      <c r="C75" s="71" t="s">
        <v>446</v>
      </c>
    </row>
    <row r="76" spans="1:3" ht="46.95" customHeight="1" x14ac:dyDescent="0.3">
      <c r="A76" s="97" t="s">
        <v>536</v>
      </c>
      <c r="B76" s="70" t="s">
        <v>537</v>
      </c>
      <c r="C76" s="70" t="s">
        <v>446</v>
      </c>
    </row>
    <row r="77" spans="1:3" ht="46.95" customHeight="1" x14ac:dyDescent="0.3">
      <c r="A77" s="96" t="s">
        <v>538</v>
      </c>
      <c r="B77" s="71" t="s">
        <v>539</v>
      </c>
      <c r="C77" s="71" t="s">
        <v>447</v>
      </c>
    </row>
    <row r="78" spans="1:3" ht="46.95" customHeight="1" x14ac:dyDescent="0.3">
      <c r="A78" s="97" t="s">
        <v>540</v>
      </c>
      <c r="B78" s="70" t="s">
        <v>541</v>
      </c>
      <c r="C78" s="70" t="s">
        <v>446</v>
      </c>
    </row>
    <row r="79" spans="1:3" ht="46.95" customHeight="1" x14ac:dyDescent="0.3">
      <c r="A79" s="96" t="s">
        <v>262</v>
      </c>
      <c r="B79" s="71" t="s">
        <v>263</v>
      </c>
      <c r="C79" s="71"/>
    </row>
    <row r="80" spans="1:3" ht="46.95" customHeight="1" x14ac:dyDescent="0.3">
      <c r="A80" s="97" t="s">
        <v>542</v>
      </c>
      <c r="B80" s="70" t="s">
        <v>543</v>
      </c>
      <c r="C80" s="70" t="s">
        <v>433</v>
      </c>
    </row>
    <row r="81" spans="1:3" ht="46.95" customHeight="1" x14ac:dyDescent="0.3">
      <c r="A81" s="96" t="s">
        <v>544</v>
      </c>
      <c r="B81" s="71" t="s">
        <v>545</v>
      </c>
      <c r="C81" s="71" t="s">
        <v>433</v>
      </c>
    </row>
    <row r="82" spans="1:3" ht="46.95" customHeight="1" x14ac:dyDescent="0.3">
      <c r="A82" s="97" t="s">
        <v>546</v>
      </c>
      <c r="B82" s="70" t="s">
        <v>547</v>
      </c>
      <c r="C82" s="70" t="s">
        <v>433</v>
      </c>
    </row>
    <row r="83" spans="1:3" ht="46.95" customHeight="1" x14ac:dyDescent="0.3">
      <c r="A83" s="96" t="s">
        <v>548</v>
      </c>
      <c r="B83" s="71" t="s">
        <v>549</v>
      </c>
      <c r="C83" s="71" t="s">
        <v>433</v>
      </c>
    </row>
    <row r="84" spans="1:3" ht="46.95" customHeight="1" x14ac:dyDescent="0.3">
      <c r="A84" s="97" t="s">
        <v>550</v>
      </c>
      <c r="B84" s="70" t="s">
        <v>551</v>
      </c>
      <c r="C84" s="70" t="s">
        <v>433</v>
      </c>
    </row>
    <row r="85" spans="1:3" ht="46.95" customHeight="1" x14ac:dyDescent="0.3">
      <c r="A85" s="96" t="s">
        <v>552</v>
      </c>
      <c r="B85" s="71" t="s">
        <v>553</v>
      </c>
      <c r="C85" s="71" t="s">
        <v>433</v>
      </c>
    </row>
    <row r="86" spans="1:3" ht="46.95" customHeight="1" x14ac:dyDescent="0.3">
      <c r="A86" s="97" t="s">
        <v>554</v>
      </c>
      <c r="B86" s="70" t="s">
        <v>555</v>
      </c>
      <c r="C86" s="70" t="s">
        <v>433</v>
      </c>
    </row>
    <row r="87" spans="1:3" ht="46.95" customHeight="1" x14ac:dyDescent="0.3">
      <c r="A87" s="96" t="s">
        <v>556</v>
      </c>
      <c r="B87" s="71" t="s">
        <v>557</v>
      </c>
      <c r="C87" s="71" t="s">
        <v>433</v>
      </c>
    </row>
    <row r="88" spans="1:3" ht="46.95" customHeight="1" x14ac:dyDescent="0.3">
      <c r="A88" s="88">
        <v>7</v>
      </c>
      <c r="B88" s="58" t="s">
        <v>266</v>
      </c>
      <c r="C88" s="58"/>
    </row>
    <row r="89" spans="1:3" ht="46.95" customHeight="1" x14ac:dyDescent="0.3">
      <c r="A89" s="96" t="s">
        <v>267</v>
      </c>
      <c r="B89" s="60" t="s">
        <v>268</v>
      </c>
      <c r="C89" s="60"/>
    </row>
    <row r="90" spans="1:3" ht="46.95" customHeight="1" x14ac:dyDescent="0.3">
      <c r="A90" s="97" t="s">
        <v>269</v>
      </c>
      <c r="B90" s="70" t="s">
        <v>270</v>
      </c>
      <c r="C90" s="70" t="s">
        <v>434</v>
      </c>
    </row>
    <row r="91" spans="1:3" ht="46.95" customHeight="1" x14ac:dyDescent="0.3">
      <c r="A91" s="96" t="s">
        <v>273</v>
      </c>
      <c r="B91" s="71" t="s">
        <v>274</v>
      </c>
      <c r="C91" s="71" t="s">
        <v>434</v>
      </c>
    </row>
    <row r="92" spans="1:3" ht="46.95" customHeight="1" x14ac:dyDescent="0.3">
      <c r="A92" s="97" t="s">
        <v>277</v>
      </c>
      <c r="B92" s="70" t="s">
        <v>582</v>
      </c>
      <c r="C92" s="70" t="s">
        <v>434</v>
      </c>
    </row>
    <row r="93" spans="1:3" ht="46.95" customHeight="1" x14ac:dyDescent="0.3">
      <c r="A93" s="96" t="s">
        <v>279</v>
      </c>
      <c r="B93" s="71" t="s">
        <v>280</v>
      </c>
      <c r="C93" s="71"/>
    </row>
    <row r="94" spans="1:3" ht="46.95" customHeight="1" x14ac:dyDescent="0.3">
      <c r="A94" s="97" t="s">
        <v>281</v>
      </c>
      <c r="B94" s="70" t="s">
        <v>282</v>
      </c>
      <c r="C94" s="70" t="s">
        <v>446</v>
      </c>
    </row>
    <row r="95" spans="1:3" ht="46.95" customHeight="1" x14ac:dyDescent="0.3">
      <c r="A95" s="97" t="s">
        <v>284</v>
      </c>
      <c r="B95" s="70" t="s">
        <v>285</v>
      </c>
      <c r="C95" s="70" t="s">
        <v>434</v>
      </c>
    </row>
    <row r="96" spans="1:3" ht="46.95" customHeight="1" x14ac:dyDescent="0.3">
      <c r="A96" s="96" t="s">
        <v>287</v>
      </c>
      <c r="B96" s="71" t="s">
        <v>288</v>
      </c>
      <c r="C96" s="71" t="s">
        <v>434</v>
      </c>
    </row>
    <row r="97" spans="1:3" ht="46.95" customHeight="1" x14ac:dyDescent="0.3">
      <c r="A97" s="97" t="s">
        <v>290</v>
      </c>
      <c r="B97" s="70" t="s">
        <v>291</v>
      </c>
      <c r="C97" s="70" t="s">
        <v>437</v>
      </c>
    </row>
    <row r="98" spans="1:3" ht="46.95" customHeight="1" x14ac:dyDescent="0.3">
      <c r="A98" s="96" t="s">
        <v>293</v>
      </c>
      <c r="B98" s="71" t="s">
        <v>294</v>
      </c>
      <c r="C98" s="71"/>
    </row>
    <row r="99" spans="1:3" ht="46.95" customHeight="1" x14ac:dyDescent="0.3">
      <c r="A99" s="97" t="s">
        <v>295</v>
      </c>
      <c r="B99" s="70" t="s">
        <v>296</v>
      </c>
      <c r="C99" s="70" t="s">
        <v>446</v>
      </c>
    </row>
    <row r="100" spans="1:3" ht="46.95" customHeight="1" x14ac:dyDescent="0.3">
      <c r="A100" s="96" t="s">
        <v>298</v>
      </c>
      <c r="B100" s="71" t="s">
        <v>299</v>
      </c>
      <c r="C100" s="71" t="s">
        <v>435</v>
      </c>
    </row>
    <row r="101" spans="1:3" ht="46.95" customHeight="1" x14ac:dyDescent="0.3">
      <c r="A101" s="95" t="s">
        <v>301</v>
      </c>
      <c r="B101" s="70" t="s">
        <v>302</v>
      </c>
      <c r="C101" s="70" t="s">
        <v>434</v>
      </c>
    </row>
    <row r="102" spans="1:3" ht="46.95" customHeight="1" x14ac:dyDescent="0.3">
      <c r="A102" s="96" t="s">
        <v>304</v>
      </c>
      <c r="B102" s="71" t="s">
        <v>305</v>
      </c>
      <c r="C102" s="71" t="s">
        <v>437</v>
      </c>
    </row>
    <row r="103" spans="1:3" ht="46.95" customHeight="1" x14ac:dyDescent="0.3">
      <c r="A103" s="97" t="s">
        <v>308</v>
      </c>
      <c r="B103" s="70" t="s">
        <v>309</v>
      </c>
      <c r="C103" s="70" t="s">
        <v>446</v>
      </c>
    </row>
    <row r="104" spans="1:3" ht="46.95" customHeight="1" x14ac:dyDescent="0.3">
      <c r="A104" s="96" t="s">
        <v>311</v>
      </c>
      <c r="B104" s="71" t="s">
        <v>312</v>
      </c>
      <c r="C104" s="71" t="s">
        <v>434</v>
      </c>
    </row>
    <row r="105" spans="1:3" ht="46.95" customHeight="1" x14ac:dyDescent="0.3">
      <c r="A105" s="97" t="s">
        <v>314</v>
      </c>
      <c r="B105" s="70" t="s">
        <v>315</v>
      </c>
      <c r="C105" s="70" t="s">
        <v>434</v>
      </c>
    </row>
    <row r="106" spans="1:3" ht="46.95" customHeight="1" x14ac:dyDescent="0.3">
      <c r="A106" s="96" t="s">
        <v>317</v>
      </c>
      <c r="B106" s="71" t="s">
        <v>318</v>
      </c>
      <c r="C106" s="71" t="s">
        <v>446</v>
      </c>
    </row>
    <row r="107" spans="1:3" ht="46.95" customHeight="1" x14ac:dyDescent="0.3">
      <c r="A107" s="95" t="s">
        <v>320</v>
      </c>
      <c r="B107" s="70" t="s">
        <v>321</v>
      </c>
      <c r="C107" s="70" t="s">
        <v>434</v>
      </c>
    </row>
    <row r="108" spans="1:3" ht="46.95" customHeight="1" x14ac:dyDescent="0.3">
      <c r="A108" s="96" t="s">
        <v>324</v>
      </c>
      <c r="B108" s="71" t="s">
        <v>325</v>
      </c>
      <c r="C108" s="71" t="s">
        <v>434</v>
      </c>
    </row>
    <row r="109" spans="1:3" ht="46.95" customHeight="1" x14ac:dyDescent="0.3">
      <c r="A109" s="98" t="s">
        <v>327</v>
      </c>
      <c r="B109" s="72" t="s">
        <v>328</v>
      </c>
      <c r="C109" s="72" t="s">
        <v>434</v>
      </c>
    </row>
    <row r="110" spans="1:3" ht="46.95" customHeight="1" x14ac:dyDescent="0.3">
      <c r="A110" s="97" t="s">
        <v>330</v>
      </c>
      <c r="B110" s="70" t="s">
        <v>331</v>
      </c>
      <c r="C110" s="70"/>
    </row>
    <row r="111" spans="1:3" ht="46.95" customHeight="1" x14ac:dyDescent="0.3">
      <c r="A111" s="96" t="s">
        <v>332</v>
      </c>
      <c r="B111" s="71" t="s">
        <v>333</v>
      </c>
      <c r="C111" s="71" t="s">
        <v>434</v>
      </c>
    </row>
    <row r="112" spans="1:3" ht="46.95" customHeight="1" x14ac:dyDescent="0.3">
      <c r="A112" s="97" t="s">
        <v>336</v>
      </c>
      <c r="B112" s="70" t="s">
        <v>337</v>
      </c>
      <c r="C112" s="70" t="s">
        <v>434</v>
      </c>
    </row>
    <row r="113" spans="1:3" ht="46.95" customHeight="1" x14ac:dyDescent="0.3">
      <c r="A113" s="96" t="s">
        <v>339</v>
      </c>
      <c r="B113" s="71" t="s">
        <v>340</v>
      </c>
      <c r="C113" s="71" t="s">
        <v>422</v>
      </c>
    </row>
    <row r="114" spans="1:3" ht="46.95" customHeight="1" x14ac:dyDescent="0.3">
      <c r="A114" s="95" t="s">
        <v>342</v>
      </c>
      <c r="B114" s="70" t="s">
        <v>343</v>
      </c>
      <c r="C114" s="70" t="s">
        <v>435</v>
      </c>
    </row>
    <row r="115" spans="1:3" ht="46.95" customHeight="1" x14ac:dyDescent="0.3">
      <c r="A115" s="96" t="s">
        <v>345</v>
      </c>
      <c r="B115" s="71" t="s">
        <v>346</v>
      </c>
      <c r="C115" s="71" t="s">
        <v>422</v>
      </c>
    </row>
    <row r="116" spans="1:3" ht="46.95" customHeight="1" x14ac:dyDescent="0.3">
      <c r="A116" s="97" t="s">
        <v>349</v>
      </c>
      <c r="B116" s="70" t="s">
        <v>350</v>
      </c>
      <c r="C116" s="70" t="s">
        <v>437</v>
      </c>
    </row>
    <row r="117" spans="1:3" ht="46.95" customHeight="1" x14ac:dyDescent="0.3">
      <c r="A117" s="99">
        <v>8</v>
      </c>
      <c r="B117" s="73" t="s">
        <v>353</v>
      </c>
      <c r="C117" s="73"/>
    </row>
    <row r="118" spans="1:3" ht="46.95" customHeight="1" x14ac:dyDescent="0.3">
      <c r="A118" s="61">
        <v>8.1</v>
      </c>
      <c r="B118" s="62" t="s">
        <v>354</v>
      </c>
      <c r="C118" s="62"/>
    </row>
    <row r="119" spans="1:3" ht="46.95" customHeight="1" x14ac:dyDescent="0.3">
      <c r="A119" s="63" t="s">
        <v>355</v>
      </c>
      <c r="B119" s="66" t="s">
        <v>356</v>
      </c>
      <c r="C119" s="66" t="s">
        <v>437</v>
      </c>
    </row>
    <row r="120" spans="1:3" ht="46.95" customHeight="1" x14ac:dyDescent="0.3">
      <c r="A120" s="64" t="s">
        <v>358</v>
      </c>
      <c r="B120" s="65" t="s">
        <v>359</v>
      </c>
      <c r="C120" s="65" t="s">
        <v>437</v>
      </c>
    </row>
    <row r="121" spans="1:3" ht="46.95" customHeight="1" x14ac:dyDescent="0.3">
      <c r="A121" s="100">
        <v>8.1999999999999993</v>
      </c>
      <c r="B121" s="102" t="s">
        <v>361</v>
      </c>
      <c r="C121" s="102"/>
    </row>
    <row r="122" spans="1:3" ht="46.95" customHeight="1" x14ac:dyDescent="0.3">
      <c r="A122" s="64" t="s">
        <v>362</v>
      </c>
      <c r="B122" s="65" t="s">
        <v>363</v>
      </c>
      <c r="C122" s="65" t="s">
        <v>437</v>
      </c>
    </row>
    <row r="123" spans="1:3" ht="46.95" customHeight="1" x14ac:dyDescent="0.3">
      <c r="A123" s="63" t="s">
        <v>365</v>
      </c>
      <c r="B123" s="66" t="s">
        <v>366</v>
      </c>
      <c r="C123" s="66" t="s">
        <v>437</v>
      </c>
    </row>
    <row r="124" spans="1:3" ht="46.95" customHeight="1" x14ac:dyDescent="0.3">
      <c r="A124" s="64" t="s">
        <v>369</v>
      </c>
      <c r="B124" s="65" t="s">
        <v>370</v>
      </c>
      <c r="C124" s="65" t="s">
        <v>437</v>
      </c>
    </row>
    <row r="125" spans="1:3" ht="46.95" customHeight="1" x14ac:dyDescent="0.3">
      <c r="A125" s="59">
        <v>8.3000000000000007</v>
      </c>
      <c r="B125" s="60" t="s">
        <v>372</v>
      </c>
      <c r="C125" s="60"/>
    </row>
    <row r="126" spans="1:3" ht="46.95" customHeight="1" x14ac:dyDescent="0.3">
      <c r="A126" s="64" t="s">
        <v>373</v>
      </c>
      <c r="B126" s="65" t="s">
        <v>374</v>
      </c>
      <c r="C126" s="65" t="s">
        <v>437</v>
      </c>
    </row>
    <row r="127" spans="1:3" ht="46.95" customHeight="1" x14ac:dyDescent="0.3">
      <c r="A127" s="63" t="s">
        <v>377</v>
      </c>
      <c r="B127" s="66" t="s">
        <v>378</v>
      </c>
      <c r="C127" s="66" t="s">
        <v>437</v>
      </c>
    </row>
    <row r="128" spans="1:3" ht="46.95" customHeight="1" x14ac:dyDescent="0.3">
      <c r="A128" s="64" t="s">
        <v>380</v>
      </c>
      <c r="B128" s="62" t="s">
        <v>381</v>
      </c>
      <c r="C128" s="62" t="s">
        <v>448</v>
      </c>
    </row>
    <row r="129" spans="1:3" ht="46.95" customHeight="1" x14ac:dyDescent="0.3">
      <c r="A129" s="63" t="s">
        <v>383</v>
      </c>
      <c r="B129" s="66" t="s">
        <v>384</v>
      </c>
      <c r="C129" s="66" t="s">
        <v>437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909F-6198-4CFF-81C6-57789CF1BAE5}">
  <dimension ref="A1:E110"/>
  <sheetViews>
    <sheetView workbookViewId="0">
      <selection activeCell="A16" sqref="A16"/>
    </sheetView>
  </sheetViews>
  <sheetFormatPr defaultColWidth="8.88671875" defaultRowHeight="14.4" x14ac:dyDescent="0.3"/>
  <cols>
    <col min="1" max="1" width="26.33203125" style="17" customWidth="1"/>
    <col min="2" max="2" width="24.6640625" style="17" customWidth="1"/>
    <col min="3" max="3" width="13" style="38" customWidth="1"/>
    <col min="4" max="4" width="10.44140625" style="17" customWidth="1"/>
    <col min="5" max="5" width="16.44140625" style="38" customWidth="1"/>
    <col min="6" max="16384" width="8.88671875" style="17"/>
  </cols>
  <sheetData>
    <row r="1" spans="1:5" x14ac:dyDescent="0.3">
      <c r="A1" s="149" t="s">
        <v>449</v>
      </c>
      <c r="B1" s="150"/>
      <c r="C1" s="150"/>
      <c r="D1" s="150"/>
      <c r="E1" s="151"/>
    </row>
    <row r="2" spans="1:5" x14ac:dyDescent="0.3">
      <c r="A2" s="152"/>
      <c r="B2" s="153"/>
      <c r="C2" s="153"/>
      <c r="D2" s="153"/>
      <c r="E2" s="154"/>
    </row>
    <row r="3" spans="1:5" ht="14.4" hidden="1" customHeight="1" x14ac:dyDescent="0.3">
      <c r="A3" s="155"/>
      <c r="B3" s="156"/>
      <c r="C3" s="156"/>
      <c r="D3" s="156"/>
      <c r="E3" s="157"/>
    </row>
    <row r="4" spans="1:5" x14ac:dyDescent="0.3">
      <c r="A4" s="43" t="s">
        <v>450</v>
      </c>
      <c r="B4" s="44" t="s">
        <v>451</v>
      </c>
      <c r="C4" s="45" t="s">
        <v>452</v>
      </c>
      <c r="D4" s="44" t="s">
        <v>453</v>
      </c>
      <c r="E4" s="46" t="s">
        <v>454</v>
      </c>
    </row>
    <row r="5" spans="1:5" x14ac:dyDescent="0.3">
      <c r="A5" s="40" t="s">
        <v>455</v>
      </c>
      <c r="B5" s="15" t="s">
        <v>456</v>
      </c>
      <c r="C5" s="7">
        <v>31000</v>
      </c>
      <c r="D5" s="15">
        <v>13</v>
      </c>
      <c r="E5" s="42">
        <f>C5*D5</f>
        <v>403000</v>
      </c>
    </row>
    <row r="6" spans="1:5" x14ac:dyDescent="0.3">
      <c r="A6" s="40" t="s">
        <v>457</v>
      </c>
      <c r="B6" s="15" t="s">
        <v>458</v>
      </c>
      <c r="C6" s="16" t="s">
        <v>459</v>
      </c>
      <c r="D6" s="15" t="s">
        <v>460</v>
      </c>
      <c r="E6" s="42">
        <v>14400000</v>
      </c>
    </row>
    <row r="7" spans="1:5" x14ac:dyDescent="0.3">
      <c r="A7" s="40" t="s">
        <v>457</v>
      </c>
      <c r="B7" s="15" t="s">
        <v>461</v>
      </c>
      <c r="C7" s="16" t="s">
        <v>462</v>
      </c>
      <c r="D7" s="15" t="s">
        <v>460</v>
      </c>
      <c r="E7" s="42">
        <v>4000000</v>
      </c>
    </row>
    <row r="8" spans="1:5" x14ac:dyDescent="0.3">
      <c r="A8" s="40"/>
      <c r="B8" s="15"/>
      <c r="C8" s="16"/>
      <c r="D8" s="15"/>
      <c r="E8" s="42">
        <f t="shared" ref="E8:E31" si="0">C8*D8</f>
        <v>0</v>
      </c>
    </row>
    <row r="9" spans="1:5" x14ac:dyDescent="0.3">
      <c r="A9" s="40"/>
      <c r="B9" s="15"/>
      <c r="C9" s="16"/>
      <c r="D9" s="15"/>
      <c r="E9" s="42">
        <f t="shared" si="0"/>
        <v>0</v>
      </c>
    </row>
    <row r="10" spans="1:5" x14ac:dyDescent="0.3">
      <c r="A10" s="40"/>
      <c r="B10" s="15"/>
      <c r="C10" s="16"/>
      <c r="D10" s="15"/>
      <c r="E10" s="42">
        <f t="shared" si="0"/>
        <v>0</v>
      </c>
    </row>
    <row r="11" spans="1:5" x14ac:dyDescent="0.3">
      <c r="A11" s="40"/>
      <c r="B11" s="15"/>
      <c r="C11" s="16"/>
      <c r="D11" s="15"/>
      <c r="E11" s="42">
        <f t="shared" si="0"/>
        <v>0</v>
      </c>
    </row>
    <row r="12" spans="1:5" x14ac:dyDescent="0.3">
      <c r="A12" s="40"/>
      <c r="B12" s="15"/>
      <c r="C12" s="16"/>
      <c r="D12" s="15"/>
      <c r="E12" s="42">
        <f t="shared" si="0"/>
        <v>0</v>
      </c>
    </row>
    <row r="13" spans="1:5" x14ac:dyDescent="0.3">
      <c r="A13" s="40"/>
      <c r="B13" s="15"/>
      <c r="C13" s="16"/>
      <c r="D13" s="15"/>
      <c r="E13" s="42">
        <f t="shared" si="0"/>
        <v>0</v>
      </c>
    </row>
    <row r="14" spans="1:5" x14ac:dyDescent="0.3">
      <c r="A14" s="40"/>
      <c r="B14" s="15"/>
      <c r="C14" s="16"/>
      <c r="D14" s="15"/>
      <c r="E14" s="42">
        <f t="shared" si="0"/>
        <v>0</v>
      </c>
    </row>
    <row r="15" spans="1:5" x14ac:dyDescent="0.3">
      <c r="A15" s="40"/>
      <c r="B15" s="15"/>
      <c r="C15" s="16"/>
      <c r="D15" s="15"/>
      <c r="E15" s="42">
        <f t="shared" si="0"/>
        <v>0</v>
      </c>
    </row>
    <row r="16" spans="1:5" x14ac:dyDescent="0.3">
      <c r="A16" s="40"/>
      <c r="B16" s="15"/>
      <c r="C16" s="16"/>
      <c r="D16" s="15"/>
      <c r="E16" s="42">
        <f t="shared" si="0"/>
        <v>0</v>
      </c>
    </row>
    <row r="17" spans="1:5" x14ac:dyDescent="0.3">
      <c r="A17" s="40"/>
      <c r="B17" s="15"/>
      <c r="C17" s="16"/>
      <c r="D17" s="15"/>
      <c r="E17" s="42">
        <f t="shared" si="0"/>
        <v>0</v>
      </c>
    </row>
    <row r="18" spans="1:5" x14ac:dyDescent="0.3">
      <c r="A18" s="40"/>
      <c r="B18" s="15"/>
      <c r="C18" s="16"/>
      <c r="D18" s="15"/>
      <c r="E18" s="42">
        <f t="shared" si="0"/>
        <v>0</v>
      </c>
    </row>
    <row r="19" spans="1:5" x14ac:dyDescent="0.3">
      <c r="A19" s="40"/>
      <c r="B19" s="15"/>
      <c r="C19" s="16"/>
      <c r="D19" s="15"/>
      <c r="E19" s="42">
        <f t="shared" si="0"/>
        <v>0</v>
      </c>
    </row>
    <row r="20" spans="1:5" x14ac:dyDescent="0.3">
      <c r="A20" s="41"/>
      <c r="B20" s="36"/>
      <c r="C20" s="37"/>
      <c r="D20" s="36"/>
      <c r="E20" s="42">
        <f t="shared" si="0"/>
        <v>0</v>
      </c>
    </row>
    <row r="21" spans="1:5" x14ac:dyDescent="0.3">
      <c r="A21" s="41"/>
      <c r="B21" s="36"/>
      <c r="C21" s="37"/>
      <c r="D21" s="36"/>
      <c r="E21" s="42">
        <f t="shared" si="0"/>
        <v>0</v>
      </c>
    </row>
    <row r="22" spans="1:5" x14ac:dyDescent="0.3">
      <c r="A22" s="41"/>
      <c r="B22" s="36"/>
      <c r="C22" s="37"/>
      <c r="D22" s="36"/>
      <c r="E22" s="42">
        <f t="shared" si="0"/>
        <v>0</v>
      </c>
    </row>
    <row r="23" spans="1:5" x14ac:dyDescent="0.3">
      <c r="A23" s="41"/>
      <c r="B23" s="36"/>
      <c r="C23" s="37"/>
      <c r="D23" s="36"/>
      <c r="E23" s="42">
        <f t="shared" si="0"/>
        <v>0</v>
      </c>
    </row>
    <row r="24" spans="1:5" x14ac:dyDescent="0.3">
      <c r="A24" s="41"/>
      <c r="B24" s="36"/>
      <c r="C24" s="37"/>
      <c r="D24" s="36"/>
      <c r="E24" s="42">
        <f t="shared" si="0"/>
        <v>0</v>
      </c>
    </row>
    <row r="25" spans="1:5" x14ac:dyDescent="0.3">
      <c r="A25" s="41"/>
      <c r="B25" s="36"/>
      <c r="C25" s="37"/>
      <c r="D25" s="36"/>
      <c r="E25" s="42">
        <f t="shared" si="0"/>
        <v>0</v>
      </c>
    </row>
    <row r="26" spans="1:5" x14ac:dyDescent="0.3">
      <c r="A26" s="41"/>
      <c r="B26" s="36"/>
      <c r="C26" s="37"/>
      <c r="D26" s="36"/>
      <c r="E26" s="42">
        <f t="shared" si="0"/>
        <v>0</v>
      </c>
    </row>
    <row r="27" spans="1:5" x14ac:dyDescent="0.3">
      <c r="A27" s="41"/>
      <c r="B27" s="36"/>
      <c r="C27" s="37"/>
      <c r="D27" s="36"/>
      <c r="E27" s="42">
        <f t="shared" si="0"/>
        <v>0</v>
      </c>
    </row>
    <row r="28" spans="1:5" x14ac:dyDescent="0.3">
      <c r="A28" s="41"/>
      <c r="B28" s="36"/>
      <c r="C28" s="37"/>
      <c r="D28" s="36"/>
      <c r="E28" s="42">
        <f t="shared" si="0"/>
        <v>0</v>
      </c>
    </row>
    <row r="29" spans="1:5" x14ac:dyDescent="0.3">
      <c r="A29" s="41"/>
      <c r="B29" s="36"/>
      <c r="C29" s="37"/>
      <c r="D29" s="36"/>
      <c r="E29" s="42">
        <f t="shared" si="0"/>
        <v>0</v>
      </c>
    </row>
    <row r="30" spans="1:5" x14ac:dyDescent="0.3">
      <c r="A30" s="41"/>
      <c r="B30" s="36"/>
      <c r="C30" s="37"/>
      <c r="D30" s="36"/>
      <c r="E30" s="42">
        <f t="shared" si="0"/>
        <v>0</v>
      </c>
    </row>
    <row r="31" spans="1:5" x14ac:dyDescent="0.3">
      <c r="A31" s="36" t="s">
        <v>463</v>
      </c>
      <c r="B31" s="17" t="s">
        <v>464</v>
      </c>
      <c r="C31" s="37">
        <v>67800</v>
      </c>
      <c r="D31" s="36">
        <v>1</v>
      </c>
      <c r="E31" s="42">
        <f t="shared" si="0"/>
        <v>67800</v>
      </c>
    </row>
    <row r="32" spans="1:5" x14ac:dyDescent="0.3">
      <c r="A32" s="41" t="s">
        <v>465</v>
      </c>
      <c r="B32" s="36" t="s">
        <v>466</v>
      </c>
      <c r="C32" s="37" t="s">
        <v>467</v>
      </c>
      <c r="D32" s="36" t="s">
        <v>468</v>
      </c>
      <c r="E32" s="37">
        <v>21000</v>
      </c>
    </row>
    <row r="33" spans="1:5" x14ac:dyDescent="0.3">
      <c r="A33" s="41" t="s">
        <v>469</v>
      </c>
      <c r="B33" s="36" t="s">
        <v>470</v>
      </c>
      <c r="C33" s="37" t="s">
        <v>471</v>
      </c>
      <c r="D33" s="36" t="s">
        <v>472</v>
      </c>
      <c r="E33" s="42">
        <v>67200</v>
      </c>
    </row>
    <row r="34" spans="1:5" x14ac:dyDescent="0.3">
      <c r="A34" s="41" t="s">
        <v>473</v>
      </c>
      <c r="B34" s="36" t="s">
        <v>474</v>
      </c>
      <c r="C34" s="37" t="s">
        <v>475</v>
      </c>
      <c r="D34" s="36">
        <v>3750</v>
      </c>
      <c r="E34" s="42">
        <v>80000</v>
      </c>
    </row>
    <row r="35" spans="1:5" x14ac:dyDescent="0.3">
      <c r="A35" s="41" t="s">
        <v>476</v>
      </c>
      <c r="B35" s="41" t="s">
        <v>477</v>
      </c>
      <c r="C35" s="37">
        <v>4000</v>
      </c>
      <c r="D35" s="36">
        <v>4</v>
      </c>
      <c r="E35" s="42">
        <f t="shared" ref="E35:E69" si="1">C35*D35</f>
        <v>16000</v>
      </c>
    </row>
    <row r="36" spans="1:5" x14ac:dyDescent="0.3">
      <c r="A36" s="41" t="s">
        <v>478</v>
      </c>
      <c r="B36" s="36" t="s">
        <v>479</v>
      </c>
      <c r="C36" s="37" t="s">
        <v>480</v>
      </c>
      <c r="D36" s="36">
        <v>3</v>
      </c>
      <c r="E36" s="42">
        <v>7200</v>
      </c>
    </row>
    <row r="37" spans="1:5" x14ac:dyDescent="0.3">
      <c r="A37" s="41"/>
      <c r="B37" s="36"/>
      <c r="C37" s="37"/>
      <c r="D37" s="36"/>
      <c r="E37" s="42">
        <f t="shared" si="1"/>
        <v>0</v>
      </c>
    </row>
    <row r="38" spans="1:5" x14ac:dyDescent="0.3">
      <c r="A38" s="41"/>
      <c r="B38" s="36"/>
      <c r="C38" s="37"/>
      <c r="D38" s="36"/>
      <c r="E38" s="42">
        <f t="shared" si="1"/>
        <v>0</v>
      </c>
    </row>
    <row r="39" spans="1:5" x14ac:dyDescent="0.3">
      <c r="A39" s="41"/>
      <c r="B39" s="36"/>
      <c r="C39" s="37"/>
      <c r="D39" s="36"/>
      <c r="E39" s="42">
        <f t="shared" si="1"/>
        <v>0</v>
      </c>
    </row>
    <row r="40" spans="1:5" x14ac:dyDescent="0.3">
      <c r="A40" s="41"/>
      <c r="B40" s="36"/>
      <c r="C40" s="37"/>
      <c r="D40" s="36"/>
      <c r="E40" s="42">
        <f t="shared" si="1"/>
        <v>0</v>
      </c>
    </row>
    <row r="41" spans="1:5" x14ac:dyDescent="0.3">
      <c r="A41" s="41"/>
      <c r="B41" s="36"/>
      <c r="C41" s="37"/>
      <c r="D41" s="36"/>
      <c r="E41" s="42">
        <f t="shared" si="1"/>
        <v>0</v>
      </c>
    </row>
    <row r="42" spans="1:5" x14ac:dyDescent="0.3">
      <c r="A42" s="41"/>
      <c r="B42" s="36"/>
      <c r="C42" s="37"/>
      <c r="D42" s="36"/>
      <c r="E42" s="42">
        <f t="shared" si="1"/>
        <v>0</v>
      </c>
    </row>
    <row r="43" spans="1:5" x14ac:dyDescent="0.3">
      <c r="A43" s="41"/>
      <c r="B43" s="36"/>
      <c r="C43" s="37"/>
      <c r="D43" s="36"/>
      <c r="E43" s="42">
        <f t="shared" si="1"/>
        <v>0</v>
      </c>
    </row>
    <row r="44" spans="1:5" x14ac:dyDescent="0.3">
      <c r="A44" s="41"/>
      <c r="B44" s="36"/>
      <c r="C44" s="37"/>
      <c r="D44" s="36"/>
      <c r="E44" s="42">
        <f t="shared" si="1"/>
        <v>0</v>
      </c>
    </row>
    <row r="45" spans="1:5" x14ac:dyDescent="0.3">
      <c r="A45" s="47"/>
      <c r="B45" s="48"/>
      <c r="C45" s="49"/>
      <c r="D45" s="48"/>
      <c r="E45" s="42">
        <f t="shared" si="1"/>
        <v>0</v>
      </c>
    </row>
    <row r="46" spans="1:5" x14ac:dyDescent="0.3">
      <c r="A46" s="41"/>
      <c r="B46" s="36"/>
      <c r="C46" s="37"/>
      <c r="D46" s="36"/>
      <c r="E46" s="42">
        <f t="shared" si="1"/>
        <v>0</v>
      </c>
    </row>
    <row r="47" spans="1:5" x14ac:dyDescent="0.3">
      <c r="A47" s="41"/>
      <c r="B47" s="36"/>
      <c r="C47" s="37"/>
      <c r="D47" s="36"/>
      <c r="E47" s="42">
        <f t="shared" si="1"/>
        <v>0</v>
      </c>
    </row>
    <row r="48" spans="1:5" x14ac:dyDescent="0.3">
      <c r="A48" s="41"/>
      <c r="B48" s="36"/>
      <c r="C48" s="37"/>
      <c r="D48" s="36"/>
      <c r="E48" s="42">
        <f t="shared" si="1"/>
        <v>0</v>
      </c>
    </row>
    <row r="49" spans="1:5" x14ac:dyDescent="0.3">
      <c r="A49" s="41"/>
      <c r="B49" s="36"/>
      <c r="C49" s="37"/>
      <c r="D49" s="36"/>
      <c r="E49" s="42">
        <f t="shared" si="1"/>
        <v>0</v>
      </c>
    </row>
    <row r="50" spans="1:5" x14ac:dyDescent="0.3">
      <c r="A50" s="41"/>
      <c r="B50" s="36"/>
      <c r="C50" s="37"/>
      <c r="D50" s="36"/>
      <c r="E50" s="42">
        <f t="shared" si="1"/>
        <v>0</v>
      </c>
    </row>
    <row r="51" spans="1:5" x14ac:dyDescent="0.3">
      <c r="A51" s="41"/>
      <c r="B51" s="36"/>
      <c r="C51" s="37"/>
      <c r="D51" s="36"/>
      <c r="E51" s="42">
        <f t="shared" si="1"/>
        <v>0</v>
      </c>
    </row>
    <row r="52" spans="1:5" x14ac:dyDescent="0.3">
      <c r="A52" s="41"/>
      <c r="B52" s="36"/>
      <c r="C52" s="37"/>
      <c r="D52" s="36"/>
      <c r="E52" s="42">
        <f t="shared" si="1"/>
        <v>0</v>
      </c>
    </row>
    <row r="53" spans="1:5" x14ac:dyDescent="0.3">
      <c r="A53" s="41"/>
      <c r="B53" s="36"/>
      <c r="C53" s="37"/>
      <c r="D53" s="36"/>
      <c r="E53" s="42">
        <f t="shared" si="1"/>
        <v>0</v>
      </c>
    </row>
    <row r="54" spans="1:5" x14ac:dyDescent="0.3">
      <c r="A54" s="41"/>
      <c r="B54" s="36"/>
      <c r="C54" s="37"/>
      <c r="D54" s="36"/>
      <c r="E54" s="42">
        <f t="shared" si="1"/>
        <v>0</v>
      </c>
    </row>
    <row r="55" spans="1:5" x14ac:dyDescent="0.3">
      <c r="A55" s="41"/>
      <c r="B55" s="36"/>
      <c r="C55" s="37"/>
      <c r="D55" s="36"/>
      <c r="E55" s="42">
        <f t="shared" si="1"/>
        <v>0</v>
      </c>
    </row>
    <row r="56" spans="1:5" x14ac:dyDescent="0.3">
      <c r="A56" s="41"/>
      <c r="B56" s="36"/>
      <c r="C56" s="37"/>
      <c r="D56" s="36"/>
      <c r="E56" s="42">
        <f t="shared" si="1"/>
        <v>0</v>
      </c>
    </row>
    <row r="57" spans="1:5" x14ac:dyDescent="0.3">
      <c r="A57" s="41"/>
      <c r="B57" s="36"/>
      <c r="C57" s="37"/>
      <c r="D57" s="36"/>
      <c r="E57" s="42">
        <f t="shared" si="1"/>
        <v>0</v>
      </c>
    </row>
    <row r="58" spans="1:5" x14ac:dyDescent="0.3">
      <c r="A58" s="41"/>
      <c r="B58" s="36"/>
      <c r="C58" s="37"/>
      <c r="D58" s="36"/>
      <c r="E58" s="42">
        <f t="shared" si="1"/>
        <v>0</v>
      </c>
    </row>
    <row r="59" spans="1:5" x14ac:dyDescent="0.3">
      <c r="A59" s="41"/>
      <c r="B59" s="36"/>
      <c r="C59" s="37"/>
      <c r="D59" s="36"/>
      <c r="E59" s="42">
        <f t="shared" si="1"/>
        <v>0</v>
      </c>
    </row>
    <row r="60" spans="1:5" x14ac:dyDescent="0.3">
      <c r="A60" s="41"/>
      <c r="B60" s="36"/>
      <c r="C60" s="37"/>
      <c r="D60" s="36"/>
      <c r="E60" s="42">
        <f t="shared" si="1"/>
        <v>0</v>
      </c>
    </row>
    <row r="61" spans="1:5" x14ac:dyDescent="0.3">
      <c r="A61" s="41"/>
      <c r="B61" s="36"/>
      <c r="C61" s="37"/>
      <c r="D61" s="36"/>
      <c r="E61" s="42">
        <f t="shared" si="1"/>
        <v>0</v>
      </c>
    </row>
    <row r="62" spans="1:5" x14ac:dyDescent="0.3">
      <c r="A62" s="41"/>
      <c r="B62" s="36"/>
      <c r="C62" s="37"/>
      <c r="D62" s="36"/>
      <c r="E62" s="42">
        <f t="shared" si="1"/>
        <v>0</v>
      </c>
    </row>
    <row r="63" spans="1:5" x14ac:dyDescent="0.3">
      <c r="A63" s="41"/>
      <c r="B63" s="36"/>
      <c r="C63" s="37"/>
      <c r="D63" s="36"/>
      <c r="E63" s="42">
        <f t="shared" si="1"/>
        <v>0</v>
      </c>
    </row>
    <row r="64" spans="1:5" x14ac:dyDescent="0.3">
      <c r="A64" s="41"/>
      <c r="B64" s="36"/>
      <c r="C64" s="37"/>
      <c r="D64" s="36"/>
      <c r="E64" s="42">
        <f t="shared" si="1"/>
        <v>0</v>
      </c>
    </row>
    <row r="65" spans="1:5" x14ac:dyDescent="0.3">
      <c r="A65" s="41"/>
      <c r="B65" s="36"/>
      <c r="C65" s="37"/>
      <c r="D65" s="36"/>
      <c r="E65" s="42">
        <f t="shared" si="1"/>
        <v>0</v>
      </c>
    </row>
    <row r="66" spans="1:5" x14ac:dyDescent="0.3">
      <c r="A66" s="41"/>
      <c r="B66" s="36"/>
      <c r="C66" s="37"/>
      <c r="D66" s="36"/>
      <c r="E66" s="42">
        <f t="shared" si="1"/>
        <v>0</v>
      </c>
    </row>
    <row r="67" spans="1:5" x14ac:dyDescent="0.3">
      <c r="A67" s="41"/>
      <c r="B67" s="36"/>
      <c r="C67" s="37"/>
      <c r="D67" s="36"/>
      <c r="E67" s="42">
        <f t="shared" si="1"/>
        <v>0</v>
      </c>
    </row>
    <row r="68" spans="1:5" x14ac:dyDescent="0.3">
      <c r="A68" s="41"/>
      <c r="B68" s="36"/>
      <c r="C68" s="37"/>
      <c r="D68" s="36"/>
      <c r="E68" s="42">
        <f t="shared" si="1"/>
        <v>0</v>
      </c>
    </row>
    <row r="69" spans="1:5" x14ac:dyDescent="0.3">
      <c r="A69" s="41"/>
      <c r="B69" s="36"/>
      <c r="C69" s="37"/>
      <c r="D69" s="36"/>
      <c r="E69" s="42">
        <f t="shared" si="1"/>
        <v>0</v>
      </c>
    </row>
    <row r="70" spans="1:5" x14ac:dyDescent="0.3">
      <c r="A70" s="41"/>
      <c r="B70" s="36"/>
      <c r="C70" s="37"/>
      <c r="D70" s="36"/>
      <c r="E70" s="42">
        <f t="shared" ref="E70:E78" si="2">C70*D70</f>
        <v>0</v>
      </c>
    </row>
    <row r="71" spans="1:5" x14ac:dyDescent="0.3">
      <c r="A71" s="41"/>
      <c r="B71" s="36"/>
      <c r="C71" s="37"/>
      <c r="D71" s="36"/>
      <c r="E71" s="42">
        <f t="shared" si="2"/>
        <v>0</v>
      </c>
    </row>
    <row r="72" spans="1:5" x14ac:dyDescent="0.3">
      <c r="A72" s="41"/>
      <c r="B72" s="36"/>
      <c r="C72" s="37"/>
      <c r="D72" s="36"/>
      <c r="E72" s="42">
        <f t="shared" si="2"/>
        <v>0</v>
      </c>
    </row>
    <row r="73" spans="1:5" x14ac:dyDescent="0.3">
      <c r="A73" s="41"/>
      <c r="B73" s="36"/>
      <c r="C73" s="37"/>
      <c r="D73" s="36"/>
      <c r="E73" s="42">
        <f t="shared" si="2"/>
        <v>0</v>
      </c>
    </row>
    <row r="74" spans="1:5" x14ac:dyDescent="0.3">
      <c r="A74" s="41"/>
      <c r="B74" s="36"/>
      <c r="C74" s="37"/>
      <c r="D74" s="36"/>
      <c r="E74" s="42">
        <f t="shared" si="2"/>
        <v>0</v>
      </c>
    </row>
    <row r="75" spans="1:5" x14ac:dyDescent="0.3">
      <c r="A75" s="41"/>
      <c r="B75" s="36"/>
      <c r="C75" s="37"/>
      <c r="D75" s="36"/>
      <c r="E75" s="42">
        <f t="shared" si="2"/>
        <v>0</v>
      </c>
    </row>
    <row r="76" spans="1:5" x14ac:dyDescent="0.3">
      <c r="A76" s="41"/>
      <c r="B76" s="36"/>
      <c r="C76" s="37"/>
      <c r="D76" s="36"/>
      <c r="E76" s="42">
        <f t="shared" si="2"/>
        <v>0</v>
      </c>
    </row>
    <row r="77" spans="1:5" x14ac:dyDescent="0.3">
      <c r="A77" s="41"/>
      <c r="B77" s="36"/>
      <c r="C77" s="37"/>
      <c r="D77" s="36"/>
      <c r="E77" s="42">
        <f t="shared" si="2"/>
        <v>0</v>
      </c>
    </row>
    <row r="78" spans="1:5" x14ac:dyDescent="0.3">
      <c r="A78" s="41"/>
      <c r="B78" s="36"/>
      <c r="C78" s="37"/>
      <c r="D78" s="36"/>
      <c r="E78" s="42">
        <f t="shared" si="2"/>
        <v>0</v>
      </c>
    </row>
    <row r="79" spans="1:5" x14ac:dyDescent="0.3">
      <c r="A79" s="47"/>
      <c r="B79" s="48"/>
      <c r="C79" s="49"/>
      <c r="D79" s="48"/>
      <c r="E79" s="39">
        <f t="shared" ref="E79:E110" si="3">C79*D79</f>
        <v>0</v>
      </c>
    </row>
    <row r="80" spans="1:5" x14ac:dyDescent="0.3">
      <c r="A80" s="36"/>
      <c r="B80" s="36"/>
      <c r="C80" s="37"/>
      <c r="D80" s="36"/>
      <c r="E80" s="35">
        <f t="shared" si="3"/>
        <v>0</v>
      </c>
    </row>
    <row r="81" spans="1:5" x14ac:dyDescent="0.3">
      <c r="A81" s="36"/>
      <c r="B81" s="36"/>
      <c r="C81" s="37"/>
      <c r="D81" s="36"/>
      <c r="E81" s="35">
        <f t="shared" si="3"/>
        <v>0</v>
      </c>
    </row>
    <row r="82" spans="1:5" x14ac:dyDescent="0.3">
      <c r="A82" s="36"/>
      <c r="B82" s="36"/>
      <c r="C82" s="37"/>
      <c r="D82" s="36"/>
      <c r="E82" s="35">
        <f t="shared" si="3"/>
        <v>0</v>
      </c>
    </row>
    <row r="83" spans="1:5" x14ac:dyDescent="0.3">
      <c r="A83" s="36"/>
      <c r="B83" s="36"/>
      <c r="C83" s="37"/>
      <c r="D83" s="36"/>
      <c r="E83" s="35">
        <f t="shared" si="3"/>
        <v>0</v>
      </c>
    </row>
    <row r="84" spans="1:5" x14ac:dyDescent="0.3">
      <c r="A84" s="36"/>
      <c r="B84" s="36"/>
      <c r="C84" s="37"/>
      <c r="D84" s="36"/>
      <c r="E84" s="35">
        <f t="shared" si="3"/>
        <v>0</v>
      </c>
    </row>
    <row r="85" spans="1:5" x14ac:dyDescent="0.3">
      <c r="A85" s="36"/>
      <c r="B85" s="36"/>
      <c r="C85" s="37"/>
      <c r="D85" s="36"/>
      <c r="E85" s="35">
        <f t="shared" si="3"/>
        <v>0</v>
      </c>
    </row>
    <row r="86" spans="1:5" x14ac:dyDescent="0.3">
      <c r="A86" s="36"/>
      <c r="B86" s="36"/>
      <c r="C86" s="37"/>
      <c r="D86" s="36"/>
      <c r="E86" s="35">
        <f t="shared" si="3"/>
        <v>0</v>
      </c>
    </row>
    <row r="87" spans="1:5" x14ac:dyDescent="0.3">
      <c r="A87" s="36"/>
      <c r="B87" s="36"/>
      <c r="C87" s="37"/>
      <c r="D87" s="36"/>
      <c r="E87" s="35">
        <f t="shared" si="3"/>
        <v>0</v>
      </c>
    </row>
    <row r="88" spans="1:5" x14ac:dyDescent="0.3">
      <c r="A88" s="36"/>
      <c r="B88" s="36"/>
      <c r="C88" s="37"/>
      <c r="D88" s="36"/>
      <c r="E88" s="35">
        <f t="shared" si="3"/>
        <v>0</v>
      </c>
    </row>
    <row r="89" spans="1:5" x14ac:dyDescent="0.3">
      <c r="A89" s="36"/>
      <c r="B89" s="36"/>
      <c r="C89" s="37"/>
      <c r="D89" s="36"/>
      <c r="E89" s="35">
        <f t="shared" si="3"/>
        <v>0</v>
      </c>
    </row>
    <row r="90" spans="1:5" x14ac:dyDescent="0.3">
      <c r="A90" s="36"/>
      <c r="B90" s="36"/>
      <c r="C90" s="37"/>
      <c r="D90" s="36"/>
      <c r="E90" s="35">
        <f t="shared" si="3"/>
        <v>0</v>
      </c>
    </row>
    <row r="91" spans="1:5" x14ac:dyDescent="0.3">
      <c r="A91" s="36"/>
      <c r="B91" s="36"/>
      <c r="C91" s="37"/>
      <c r="D91" s="36"/>
      <c r="E91" s="35">
        <f t="shared" si="3"/>
        <v>0</v>
      </c>
    </row>
    <row r="92" spans="1:5" x14ac:dyDescent="0.3">
      <c r="A92" s="36"/>
      <c r="B92" s="36"/>
      <c r="C92" s="37"/>
      <c r="D92" s="36"/>
      <c r="E92" s="35">
        <f t="shared" si="3"/>
        <v>0</v>
      </c>
    </row>
    <row r="93" spans="1:5" x14ac:dyDescent="0.3">
      <c r="A93" s="36"/>
      <c r="B93" s="36"/>
      <c r="C93" s="37"/>
      <c r="D93" s="36"/>
      <c r="E93" s="35">
        <f t="shared" si="3"/>
        <v>0</v>
      </c>
    </row>
    <row r="94" spans="1:5" x14ac:dyDescent="0.3">
      <c r="A94" s="36"/>
      <c r="B94" s="36"/>
      <c r="C94" s="37"/>
      <c r="D94" s="36"/>
      <c r="E94" s="35">
        <f t="shared" si="3"/>
        <v>0</v>
      </c>
    </row>
    <row r="95" spans="1:5" x14ac:dyDescent="0.3">
      <c r="A95" s="36"/>
      <c r="B95" s="36"/>
      <c r="C95" s="37"/>
      <c r="D95" s="36"/>
      <c r="E95" s="35">
        <f t="shared" si="3"/>
        <v>0</v>
      </c>
    </row>
    <row r="96" spans="1:5" x14ac:dyDescent="0.3">
      <c r="A96" s="36"/>
      <c r="B96" s="36"/>
      <c r="C96" s="37"/>
      <c r="D96" s="36"/>
      <c r="E96" s="35">
        <f t="shared" si="3"/>
        <v>0</v>
      </c>
    </row>
    <row r="97" spans="1:5" x14ac:dyDescent="0.3">
      <c r="A97" s="36"/>
      <c r="B97" s="36"/>
      <c r="C97" s="37"/>
      <c r="D97" s="36"/>
      <c r="E97" s="35">
        <f t="shared" si="3"/>
        <v>0</v>
      </c>
    </row>
    <row r="98" spans="1:5" x14ac:dyDescent="0.3">
      <c r="A98" s="36"/>
      <c r="B98" s="36"/>
      <c r="C98" s="37"/>
      <c r="D98" s="36"/>
      <c r="E98" s="35">
        <f t="shared" si="3"/>
        <v>0</v>
      </c>
    </row>
    <row r="99" spans="1:5" x14ac:dyDescent="0.3">
      <c r="A99" s="36"/>
      <c r="B99" s="36"/>
      <c r="C99" s="37"/>
      <c r="D99" s="36"/>
      <c r="E99" s="35">
        <f t="shared" si="3"/>
        <v>0</v>
      </c>
    </row>
    <row r="100" spans="1:5" x14ac:dyDescent="0.3">
      <c r="A100" s="36"/>
      <c r="B100" s="36"/>
      <c r="C100" s="37"/>
      <c r="D100" s="36"/>
      <c r="E100" s="35">
        <f t="shared" si="3"/>
        <v>0</v>
      </c>
    </row>
    <row r="101" spans="1:5" x14ac:dyDescent="0.3">
      <c r="A101" s="36"/>
      <c r="B101" s="36"/>
      <c r="C101" s="37"/>
      <c r="D101" s="36"/>
      <c r="E101" s="35">
        <f t="shared" si="3"/>
        <v>0</v>
      </c>
    </row>
    <row r="102" spans="1:5" x14ac:dyDescent="0.3">
      <c r="A102" s="36"/>
      <c r="B102" s="36"/>
      <c r="C102" s="37"/>
      <c r="D102" s="36"/>
      <c r="E102" s="35">
        <f t="shared" si="3"/>
        <v>0</v>
      </c>
    </row>
    <row r="103" spans="1:5" x14ac:dyDescent="0.3">
      <c r="A103" s="36"/>
      <c r="B103" s="36"/>
      <c r="C103" s="37"/>
      <c r="D103" s="36"/>
      <c r="E103" s="35">
        <f t="shared" si="3"/>
        <v>0</v>
      </c>
    </row>
    <row r="104" spans="1:5" x14ac:dyDescent="0.3">
      <c r="A104" s="36"/>
      <c r="B104" s="36"/>
      <c r="C104" s="37"/>
      <c r="D104" s="36"/>
      <c r="E104" s="35">
        <f t="shared" si="3"/>
        <v>0</v>
      </c>
    </row>
    <row r="105" spans="1:5" x14ac:dyDescent="0.3">
      <c r="A105" s="36"/>
      <c r="B105" s="36"/>
      <c r="C105" s="37"/>
      <c r="D105" s="36"/>
      <c r="E105" s="35">
        <f t="shared" si="3"/>
        <v>0</v>
      </c>
    </row>
    <row r="106" spans="1:5" x14ac:dyDescent="0.3">
      <c r="A106" s="36"/>
      <c r="B106" s="36"/>
      <c r="C106" s="37"/>
      <c r="D106" s="36"/>
      <c r="E106" s="35">
        <f t="shared" si="3"/>
        <v>0</v>
      </c>
    </row>
    <row r="107" spans="1:5" x14ac:dyDescent="0.3">
      <c r="A107" s="36"/>
      <c r="B107" s="36"/>
      <c r="C107" s="37"/>
      <c r="D107" s="36"/>
      <c r="E107" s="35">
        <f t="shared" si="3"/>
        <v>0</v>
      </c>
    </row>
    <row r="108" spans="1:5" x14ac:dyDescent="0.3">
      <c r="A108" s="36"/>
      <c r="B108" s="36"/>
      <c r="C108" s="37"/>
      <c r="D108" s="36"/>
      <c r="E108" s="35">
        <f t="shared" si="3"/>
        <v>0</v>
      </c>
    </row>
    <row r="109" spans="1:5" x14ac:dyDescent="0.3">
      <c r="A109" s="36"/>
      <c r="B109" s="36"/>
      <c r="C109" s="37"/>
      <c r="D109" s="36"/>
      <c r="E109" s="35">
        <f t="shared" si="3"/>
        <v>0</v>
      </c>
    </row>
    <row r="110" spans="1:5" x14ac:dyDescent="0.3">
      <c r="A110" s="36"/>
      <c r="B110" s="36"/>
      <c r="C110" s="37"/>
      <c r="D110" s="36"/>
      <c r="E110" s="35">
        <f t="shared" si="3"/>
        <v>0</v>
      </c>
    </row>
  </sheetData>
  <mergeCells count="1">
    <mergeCell ref="A1:E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5FFB-0F50-4FC0-A404-EB1AF91E219B}">
  <dimension ref="A1:C12"/>
  <sheetViews>
    <sheetView workbookViewId="0">
      <selection sqref="A1:C1"/>
    </sheetView>
  </sheetViews>
  <sheetFormatPr defaultRowHeight="14.4" x14ac:dyDescent="0.3"/>
  <cols>
    <col min="1" max="1" width="17.33203125" customWidth="1"/>
    <col min="2" max="2" width="27.109375" customWidth="1"/>
    <col min="3" max="3" width="15" style="54" customWidth="1"/>
  </cols>
  <sheetData>
    <row r="1" spans="1:3" x14ac:dyDescent="0.3">
      <c r="A1" s="158" t="s">
        <v>481</v>
      </c>
      <c r="B1" s="158"/>
      <c r="C1" s="158"/>
    </row>
    <row r="2" spans="1:3" x14ac:dyDescent="0.3">
      <c r="A2" t="s">
        <v>451</v>
      </c>
      <c r="B2" t="s">
        <v>482</v>
      </c>
      <c r="C2" s="54" t="s">
        <v>483</v>
      </c>
    </row>
    <row r="4" spans="1:3" x14ac:dyDescent="0.3">
      <c r="A4" t="s">
        <v>484</v>
      </c>
      <c r="B4" t="s">
        <v>485</v>
      </c>
      <c r="C4" s="54">
        <v>2400000</v>
      </c>
    </row>
    <row r="5" spans="1:3" x14ac:dyDescent="0.3">
      <c r="A5" t="s">
        <v>486</v>
      </c>
    </row>
    <row r="6" spans="1:3" x14ac:dyDescent="0.3">
      <c r="A6" t="s">
        <v>487</v>
      </c>
    </row>
    <row r="7" spans="1:3" x14ac:dyDescent="0.3">
      <c r="A7" t="s">
        <v>488</v>
      </c>
    </row>
    <row r="8" spans="1:3" x14ac:dyDescent="0.3">
      <c r="A8" t="s">
        <v>489</v>
      </c>
    </row>
    <row r="12" spans="1:3" ht="18.600000000000001" customHeight="1" x14ac:dyDescent="0.3">
      <c r="A12" t="s">
        <v>490</v>
      </c>
      <c r="B12" t="s">
        <v>491</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CB26-CEDC-4B6A-924A-F86DA41970C5}">
  <dimension ref="A1:E37"/>
  <sheetViews>
    <sheetView topLeftCell="C8" workbookViewId="0">
      <selection activeCell="D24" sqref="D24"/>
    </sheetView>
  </sheetViews>
  <sheetFormatPr defaultColWidth="8.88671875" defaultRowHeight="14.4" x14ac:dyDescent="0.3"/>
  <cols>
    <col min="1" max="1" width="39.44140625" style="2" customWidth="1"/>
    <col min="2" max="2" width="47.109375" style="5" customWidth="1"/>
    <col min="3" max="3" width="45.88671875" style="5" customWidth="1"/>
    <col min="4" max="4" width="23.6640625" style="5" customWidth="1"/>
    <col min="5" max="5" width="19.6640625" style="9" customWidth="1"/>
    <col min="6" max="16384" width="8.88671875" style="5"/>
  </cols>
  <sheetData>
    <row r="1" spans="1:5" ht="14.4" customHeight="1" x14ac:dyDescent="0.3">
      <c r="A1" s="159" t="s">
        <v>492</v>
      </c>
      <c r="B1" s="160"/>
      <c r="C1" s="160"/>
      <c r="D1" s="160"/>
      <c r="E1" s="161"/>
    </row>
    <row r="2" spans="1:5" x14ac:dyDescent="0.3">
      <c r="A2" s="162"/>
      <c r="B2" s="163"/>
      <c r="C2" s="163"/>
      <c r="D2" s="163"/>
      <c r="E2" s="164"/>
    </row>
    <row r="3" spans="1:5" x14ac:dyDescent="0.3">
      <c r="A3" s="165"/>
      <c r="B3" s="166"/>
      <c r="C3" s="166"/>
      <c r="D3" s="166"/>
      <c r="E3" s="167"/>
    </row>
    <row r="4" spans="1:5" x14ac:dyDescent="0.3">
      <c r="A4" s="11" t="s">
        <v>411</v>
      </c>
      <c r="B4" s="12" t="s">
        <v>493</v>
      </c>
      <c r="C4" s="12" t="s">
        <v>494</v>
      </c>
      <c r="D4" s="12" t="s">
        <v>495</v>
      </c>
      <c r="E4" s="13" t="s">
        <v>496</v>
      </c>
    </row>
    <row r="5" spans="1:5" ht="15.6" x14ac:dyDescent="0.3">
      <c r="A5" s="18" t="s">
        <v>497</v>
      </c>
      <c r="B5" s="19" t="s">
        <v>420</v>
      </c>
      <c r="C5" s="19" t="s">
        <v>498</v>
      </c>
      <c r="D5" s="20">
        <v>2</v>
      </c>
      <c r="E5" s="21">
        <v>45</v>
      </c>
    </row>
    <row r="6" spans="1:5" ht="15.6" x14ac:dyDescent="0.3">
      <c r="A6" s="18" t="s">
        <v>497</v>
      </c>
      <c r="B6" s="19" t="s">
        <v>420</v>
      </c>
      <c r="C6" s="19" t="s">
        <v>499</v>
      </c>
      <c r="D6" s="20">
        <v>1</v>
      </c>
      <c r="E6" s="21">
        <v>35</v>
      </c>
    </row>
    <row r="7" spans="1:5" ht="15.6" x14ac:dyDescent="0.3">
      <c r="A7" s="18" t="s">
        <v>497</v>
      </c>
      <c r="B7" s="19" t="s">
        <v>420</v>
      </c>
      <c r="C7" s="19" t="s">
        <v>500</v>
      </c>
      <c r="D7" s="20">
        <v>2</v>
      </c>
      <c r="E7" s="21">
        <v>17.5</v>
      </c>
    </row>
    <row r="8" spans="1:5" ht="15.6" x14ac:dyDescent="0.3">
      <c r="A8" s="18" t="s">
        <v>497</v>
      </c>
      <c r="B8" s="19" t="s">
        <v>726</v>
      </c>
      <c r="C8" s="19" t="s">
        <v>501</v>
      </c>
      <c r="D8" s="20">
        <v>1</v>
      </c>
      <c r="E8" s="21">
        <v>45</v>
      </c>
    </row>
    <row r="9" spans="1:5" ht="15.6" x14ac:dyDescent="0.3">
      <c r="A9" s="18" t="s">
        <v>497</v>
      </c>
      <c r="B9" s="19" t="s">
        <v>726</v>
      </c>
      <c r="C9" s="19" t="s">
        <v>502</v>
      </c>
      <c r="D9" s="20">
        <v>1</v>
      </c>
      <c r="E9" s="21">
        <v>18.75</v>
      </c>
    </row>
    <row r="10" spans="1:5" ht="15.6" x14ac:dyDescent="0.3">
      <c r="A10" s="18" t="s">
        <v>497</v>
      </c>
      <c r="B10" s="19" t="s">
        <v>727</v>
      </c>
      <c r="C10" s="19" t="s">
        <v>503</v>
      </c>
      <c r="D10" s="20">
        <v>1</v>
      </c>
      <c r="E10" s="21">
        <v>50</v>
      </c>
    </row>
    <row r="11" spans="1:5" ht="15.6" x14ac:dyDescent="0.3">
      <c r="A11" s="18" t="s">
        <v>497</v>
      </c>
      <c r="B11" s="19" t="s">
        <v>727</v>
      </c>
      <c r="C11" s="19" t="s">
        <v>504</v>
      </c>
      <c r="D11" s="20">
        <v>1</v>
      </c>
      <c r="E11" s="21">
        <v>20</v>
      </c>
    </row>
    <row r="12" spans="1:5" ht="15.6" x14ac:dyDescent="0.3">
      <c r="A12" s="18" t="s">
        <v>497</v>
      </c>
      <c r="B12" s="19" t="s">
        <v>424</v>
      </c>
      <c r="C12" s="19" t="s">
        <v>505</v>
      </c>
      <c r="D12" s="20">
        <v>2</v>
      </c>
      <c r="E12" s="21">
        <v>40</v>
      </c>
    </row>
    <row r="13" spans="1:5" ht="15.6" x14ac:dyDescent="0.3">
      <c r="A13" s="18" t="s">
        <v>497</v>
      </c>
      <c r="B13" s="19" t="s">
        <v>424</v>
      </c>
      <c r="C13" s="19" t="s">
        <v>506</v>
      </c>
      <c r="D13" s="20">
        <v>1</v>
      </c>
      <c r="E13" s="21">
        <v>30</v>
      </c>
    </row>
    <row r="14" spans="1:5" ht="15.6" x14ac:dyDescent="0.3">
      <c r="A14" s="18" t="s">
        <v>497</v>
      </c>
      <c r="B14" s="19" t="s">
        <v>425</v>
      </c>
      <c r="C14" s="19" t="s">
        <v>507</v>
      </c>
      <c r="D14" s="20">
        <v>2</v>
      </c>
      <c r="E14" s="21">
        <v>50</v>
      </c>
    </row>
    <row r="15" spans="1:5" ht="15.6" x14ac:dyDescent="0.3">
      <c r="A15" s="18" t="s">
        <v>426</v>
      </c>
      <c r="B15" s="19" t="s">
        <v>508</v>
      </c>
      <c r="C15" s="22" t="s">
        <v>509</v>
      </c>
      <c r="D15" s="20" t="s">
        <v>44</v>
      </c>
      <c r="E15" s="21">
        <v>200</v>
      </c>
    </row>
    <row r="16" spans="1:5" ht="15.6" x14ac:dyDescent="0.3">
      <c r="A16" s="18" t="s">
        <v>428</v>
      </c>
      <c r="B16" s="23" t="s">
        <v>429</v>
      </c>
      <c r="C16" s="19" t="s">
        <v>510</v>
      </c>
      <c r="D16" s="20">
        <v>3</v>
      </c>
      <c r="E16" s="21">
        <v>50</v>
      </c>
    </row>
    <row r="17" spans="1:5" ht="15.6" x14ac:dyDescent="0.3">
      <c r="A17" s="18" t="s">
        <v>428</v>
      </c>
      <c r="B17" s="23" t="s">
        <v>429</v>
      </c>
      <c r="C17" s="19" t="s">
        <v>511</v>
      </c>
      <c r="D17" s="20">
        <v>1</v>
      </c>
      <c r="E17" s="21">
        <v>40</v>
      </c>
    </row>
    <row r="18" spans="1:5" ht="15.6" x14ac:dyDescent="0.3">
      <c r="A18" s="18" t="s">
        <v>428</v>
      </c>
      <c r="B18" s="24" t="s">
        <v>430</v>
      </c>
      <c r="C18" s="19" t="s">
        <v>512</v>
      </c>
      <c r="D18" s="20">
        <v>2</v>
      </c>
      <c r="E18" s="21">
        <v>40</v>
      </c>
    </row>
    <row r="19" spans="1:5" ht="15.6" x14ac:dyDescent="0.3">
      <c r="A19" s="18" t="s">
        <v>428</v>
      </c>
      <c r="B19" s="24" t="s">
        <v>430</v>
      </c>
      <c r="C19" s="19" t="s">
        <v>513</v>
      </c>
      <c r="D19" s="20">
        <v>1</v>
      </c>
      <c r="E19" s="21">
        <v>25</v>
      </c>
    </row>
    <row r="20" spans="1:5" ht="15.6" x14ac:dyDescent="0.3">
      <c r="A20" s="18" t="s">
        <v>428</v>
      </c>
      <c r="B20" s="24" t="s">
        <v>430</v>
      </c>
      <c r="C20" s="19" t="s">
        <v>514</v>
      </c>
      <c r="D20" s="20">
        <v>1</v>
      </c>
      <c r="E20" s="21">
        <v>15</v>
      </c>
    </row>
    <row r="21" spans="1:5" ht="15.6" x14ac:dyDescent="0.3">
      <c r="A21" s="18" t="s">
        <v>431</v>
      </c>
      <c r="B21" s="19" t="s">
        <v>432</v>
      </c>
      <c r="C21" s="19" t="s">
        <v>515</v>
      </c>
      <c r="D21" s="20">
        <v>20</v>
      </c>
      <c r="E21" s="21">
        <v>20</v>
      </c>
    </row>
    <row r="22" spans="1:5" ht="15.6" x14ac:dyDescent="0.3">
      <c r="A22" s="18" t="s">
        <v>431</v>
      </c>
      <c r="B22" s="19" t="s">
        <v>432</v>
      </c>
      <c r="C22" s="19" t="s">
        <v>516</v>
      </c>
      <c r="D22" s="20">
        <v>2</v>
      </c>
      <c r="E22" s="21">
        <v>22</v>
      </c>
    </row>
    <row r="23" spans="1:5" ht="15.6" x14ac:dyDescent="0.3">
      <c r="A23" s="18" t="s">
        <v>431</v>
      </c>
      <c r="B23" s="19" t="s">
        <v>432</v>
      </c>
      <c r="C23" s="19" t="s">
        <v>517</v>
      </c>
      <c r="D23" s="20">
        <v>25</v>
      </c>
      <c r="E23" s="29">
        <v>20</v>
      </c>
    </row>
    <row r="24" spans="1:5" ht="15.6" x14ac:dyDescent="0.3">
      <c r="A24" s="18" t="s">
        <v>431</v>
      </c>
      <c r="B24" s="23" t="s">
        <v>435</v>
      </c>
      <c r="C24" s="23" t="s">
        <v>518</v>
      </c>
      <c r="D24" s="20">
        <v>10</v>
      </c>
      <c r="E24" s="21">
        <v>15</v>
      </c>
    </row>
    <row r="25" spans="1:5" ht="15.6" x14ac:dyDescent="0.3">
      <c r="A25" s="25" t="s">
        <v>436</v>
      </c>
      <c r="B25" s="26" t="s">
        <v>437</v>
      </c>
      <c r="C25" s="27" t="s">
        <v>519</v>
      </c>
      <c r="D25" s="20">
        <v>1</v>
      </c>
      <c r="E25" s="21">
        <v>40</v>
      </c>
    </row>
    <row r="26" spans="1:5" ht="15.6" x14ac:dyDescent="0.3">
      <c r="A26" s="25" t="s">
        <v>436</v>
      </c>
      <c r="B26" s="26" t="s">
        <v>437</v>
      </c>
      <c r="C26" s="27" t="s">
        <v>520</v>
      </c>
      <c r="D26" s="28">
        <v>1</v>
      </c>
      <c r="E26" s="29">
        <v>55</v>
      </c>
    </row>
    <row r="27" spans="1:5" ht="15.6" x14ac:dyDescent="0.3">
      <c r="A27" s="18" t="s">
        <v>415</v>
      </c>
      <c r="B27" s="18" t="s">
        <v>417</v>
      </c>
      <c r="C27" s="19" t="s">
        <v>521</v>
      </c>
      <c r="D27" s="20">
        <v>2</v>
      </c>
      <c r="E27" s="21">
        <v>30</v>
      </c>
    </row>
    <row r="28" spans="1:5" ht="15.6" x14ac:dyDescent="0.3">
      <c r="A28" s="30" t="s">
        <v>415</v>
      </c>
      <c r="B28" s="18" t="s">
        <v>416</v>
      </c>
      <c r="C28" s="19" t="s">
        <v>522</v>
      </c>
      <c r="D28" s="20">
        <v>2</v>
      </c>
      <c r="E28" s="21">
        <v>45</v>
      </c>
    </row>
    <row r="29" spans="1:5" ht="15.6" x14ac:dyDescent="0.3">
      <c r="A29" s="30" t="s">
        <v>415</v>
      </c>
      <c r="B29" s="18" t="s">
        <v>416</v>
      </c>
      <c r="C29" s="19" t="s">
        <v>523</v>
      </c>
      <c r="D29" s="20">
        <v>1</v>
      </c>
      <c r="E29" s="21">
        <v>25</v>
      </c>
    </row>
    <row r="30" spans="1:5" ht="15.6" x14ac:dyDescent="0.3">
      <c r="A30" s="25" t="s">
        <v>415</v>
      </c>
      <c r="B30" s="31" t="s">
        <v>418</v>
      </c>
      <c r="C30" s="32" t="s">
        <v>524</v>
      </c>
      <c r="D30" s="33">
        <v>2</v>
      </c>
      <c r="E30" s="34">
        <v>35</v>
      </c>
    </row>
    <row r="37" spans="2:2" x14ac:dyDescent="0.3">
      <c r="B37" s="14"/>
    </row>
  </sheetData>
  <mergeCells count="1">
    <mergeCell ref="A1:E3"/>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C1F2-3FE1-4ABD-A0EF-DAC966320545}">
  <dimension ref="A1:F129"/>
  <sheetViews>
    <sheetView zoomScaleNormal="100" workbookViewId="0">
      <selection activeCell="I37" sqref="I37"/>
    </sheetView>
  </sheetViews>
  <sheetFormatPr defaultRowHeight="14.4" x14ac:dyDescent="0.3"/>
  <cols>
    <col min="1" max="1" width="10.5546875" style="101" customWidth="1"/>
    <col min="2" max="2" width="30.109375" style="103" customWidth="1"/>
    <col min="3" max="3" width="62.33203125" customWidth="1"/>
    <col min="4" max="4" width="26" style="86" customWidth="1"/>
  </cols>
  <sheetData>
    <row r="1" spans="1:4" ht="15" thickBot="1" x14ac:dyDescent="0.35">
      <c r="A1" s="87" t="s">
        <v>83</v>
      </c>
      <c r="B1" s="57" t="s">
        <v>84</v>
      </c>
      <c r="C1" s="57" t="s">
        <v>525</v>
      </c>
      <c r="D1" s="74" t="s">
        <v>483</v>
      </c>
    </row>
    <row r="2" spans="1:4" x14ac:dyDescent="0.3">
      <c r="A2" s="88">
        <v>1</v>
      </c>
      <c r="B2" s="58" t="s">
        <v>87</v>
      </c>
      <c r="C2" s="58"/>
      <c r="D2" s="75"/>
    </row>
    <row r="3" spans="1:4" x14ac:dyDescent="0.3">
      <c r="A3" s="89" t="s">
        <v>88</v>
      </c>
      <c r="B3" s="60" t="s">
        <v>89</v>
      </c>
      <c r="C3" s="60"/>
      <c r="D3" s="76"/>
    </row>
    <row r="4" spans="1:4" x14ac:dyDescent="0.3">
      <c r="A4" s="90" t="s">
        <v>90</v>
      </c>
      <c r="B4" s="62" t="s">
        <v>91</v>
      </c>
      <c r="C4" s="62"/>
      <c r="D4" s="77">
        <v>20000</v>
      </c>
    </row>
    <row r="5" spans="1:4" x14ac:dyDescent="0.3">
      <c r="A5" s="89" t="s">
        <v>93</v>
      </c>
      <c r="B5" s="60" t="s">
        <v>94</v>
      </c>
      <c r="C5" s="60"/>
      <c r="D5" s="76">
        <v>35000</v>
      </c>
    </row>
    <row r="6" spans="1:4" x14ac:dyDescent="0.3">
      <c r="A6" s="90" t="s">
        <v>95</v>
      </c>
      <c r="B6" s="62" t="s">
        <v>96</v>
      </c>
      <c r="C6" s="62"/>
      <c r="D6" s="77">
        <v>52400</v>
      </c>
    </row>
    <row r="7" spans="1:4" x14ac:dyDescent="0.3">
      <c r="A7" s="89" t="s">
        <v>97</v>
      </c>
      <c r="B7" s="60" t="s">
        <v>98</v>
      </c>
      <c r="C7" s="60"/>
      <c r="D7" s="76"/>
    </row>
    <row r="8" spans="1:4" ht="28.8" x14ac:dyDescent="0.3">
      <c r="A8" s="90" t="s">
        <v>99</v>
      </c>
      <c r="B8" s="62" t="s">
        <v>100</v>
      </c>
      <c r="C8" s="62"/>
      <c r="D8" s="77">
        <v>60000</v>
      </c>
    </row>
    <row r="9" spans="1:4" ht="28.8" x14ac:dyDescent="0.3">
      <c r="A9" s="89" t="s">
        <v>101</v>
      </c>
      <c r="B9" s="60" t="s">
        <v>102</v>
      </c>
      <c r="C9" s="60"/>
      <c r="D9" s="76">
        <v>20000</v>
      </c>
    </row>
    <row r="10" spans="1:4" x14ac:dyDescent="0.3">
      <c r="A10" s="90" t="s">
        <v>103</v>
      </c>
      <c r="B10" s="62" t="s">
        <v>104</v>
      </c>
      <c r="C10" s="62"/>
      <c r="D10" s="77">
        <v>175000</v>
      </c>
    </row>
    <row r="11" spans="1:4" x14ac:dyDescent="0.3">
      <c r="A11" s="89" t="s">
        <v>106</v>
      </c>
      <c r="B11" s="60" t="s">
        <v>107</v>
      </c>
      <c r="C11" s="60"/>
      <c r="D11" s="76">
        <v>200000</v>
      </c>
    </row>
    <row r="12" spans="1:4" x14ac:dyDescent="0.3">
      <c r="A12" s="88">
        <v>2</v>
      </c>
      <c r="B12" s="58" t="s">
        <v>108</v>
      </c>
      <c r="C12" s="58"/>
      <c r="D12" s="75"/>
    </row>
    <row r="13" spans="1:4" x14ac:dyDescent="0.3">
      <c r="A13" s="91" t="s">
        <v>109</v>
      </c>
      <c r="B13" s="60" t="s">
        <v>110</v>
      </c>
      <c r="C13" s="60"/>
      <c r="D13" s="76">
        <v>24024</v>
      </c>
    </row>
    <row r="14" spans="1:4" x14ac:dyDescent="0.3">
      <c r="A14" s="92" t="s">
        <v>111</v>
      </c>
      <c r="B14" s="65" t="s">
        <v>112</v>
      </c>
      <c r="C14" s="65"/>
      <c r="D14" s="78"/>
    </row>
    <row r="15" spans="1:4" ht="28.8" x14ac:dyDescent="0.3">
      <c r="A15" s="89" t="s">
        <v>113</v>
      </c>
      <c r="B15" s="60" t="s">
        <v>114</v>
      </c>
      <c r="C15" s="60" t="s">
        <v>725</v>
      </c>
      <c r="D15" s="76">
        <v>2640</v>
      </c>
    </row>
    <row r="16" spans="1:4" ht="28.8" x14ac:dyDescent="0.3">
      <c r="A16" s="92" t="s">
        <v>116</v>
      </c>
      <c r="B16" s="65" t="s">
        <v>117</v>
      </c>
      <c r="C16" s="65" t="s">
        <v>728</v>
      </c>
      <c r="D16" s="78">
        <v>4089</v>
      </c>
    </row>
    <row r="17" spans="1:4" x14ac:dyDescent="0.3">
      <c r="A17" s="91" t="s">
        <v>119</v>
      </c>
      <c r="B17" s="60" t="s">
        <v>120</v>
      </c>
      <c r="C17" s="60"/>
      <c r="D17" s="76"/>
    </row>
    <row r="18" spans="1:4" ht="28.8" x14ac:dyDescent="0.3">
      <c r="A18" s="92" t="s">
        <v>121</v>
      </c>
      <c r="B18" s="65" t="s">
        <v>122</v>
      </c>
      <c r="C18" s="65" t="s">
        <v>729</v>
      </c>
      <c r="D18" s="78">
        <v>2178</v>
      </c>
    </row>
    <row r="19" spans="1:4" ht="28.8" x14ac:dyDescent="0.3">
      <c r="A19" s="91" t="s">
        <v>124</v>
      </c>
      <c r="B19" s="66" t="s">
        <v>125</v>
      </c>
      <c r="C19" s="66" t="s">
        <v>730</v>
      </c>
      <c r="D19" s="79">
        <v>2904</v>
      </c>
    </row>
    <row r="20" spans="1:4" ht="28.8" x14ac:dyDescent="0.3">
      <c r="A20" s="92" t="s">
        <v>127</v>
      </c>
      <c r="B20" s="65" t="s">
        <v>128</v>
      </c>
      <c r="C20" s="65" t="s">
        <v>730</v>
      </c>
      <c r="D20" s="78">
        <v>1742</v>
      </c>
    </row>
    <row r="21" spans="1:4" x14ac:dyDescent="0.3">
      <c r="A21" s="91" t="s">
        <v>130</v>
      </c>
      <c r="B21" s="66" t="s">
        <v>131</v>
      </c>
      <c r="C21" s="66" t="s">
        <v>731</v>
      </c>
      <c r="D21" s="79">
        <v>9600</v>
      </c>
    </row>
    <row r="22" spans="1:4" ht="28.8" x14ac:dyDescent="0.3">
      <c r="A22" s="92" t="s">
        <v>134</v>
      </c>
      <c r="B22" s="65" t="s">
        <v>135</v>
      </c>
      <c r="C22" s="65" t="s">
        <v>732</v>
      </c>
      <c r="D22" s="78">
        <v>871</v>
      </c>
    </row>
    <row r="23" spans="1:4" x14ac:dyDescent="0.3">
      <c r="A23" s="91" t="s">
        <v>137</v>
      </c>
      <c r="B23" s="66" t="s">
        <v>138</v>
      </c>
      <c r="C23" s="66"/>
      <c r="D23" s="79">
        <v>55574</v>
      </c>
    </row>
    <row r="24" spans="1:4" x14ac:dyDescent="0.3">
      <c r="A24" s="92" t="s">
        <v>139</v>
      </c>
      <c r="B24" s="65" t="s">
        <v>140</v>
      </c>
      <c r="C24" s="65"/>
      <c r="D24" s="78"/>
    </row>
    <row r="25" spans="1:4" ht="28.8" x14ac:dyDescent="0.3">
      <c r="A25" s="91" t="s">
        <v>141</v>
      </c>
      <c r="B25" s="66" t="s">
        <v>142</v>
      </c>
      <c r="C25" s="66" t="s">
        <v>733</v>
      </c>
      <c r="D25" s="79">
        <v>3840</v>
      </c>
    </row>
    <row r="26" spans="1:4" ht="28.8" x14ac:dyDescent="0.3">
      <c r="A26" s="92" t="s">
        <v>144</v>
      </c>
      <c r="B26" s="65" t="s">
        <v>145</v>
      </c>
      <c r="C26" s="65" t="s">
        <v>734</v>
      </c>
      <c r="D26" s="78">
        <v>3072</v>
      </c>
    </row>
    <row r="27" spans="1:4" ht="28.8" x14ac:dyDescent="0.3">
      <c r="A27" s="91" t="s">
        <v>147</v>
      </c>
      <c r="B27" s="66" t="s">
        <v>148</v>
      </c>
      <c r="C27" s="66" t="s">
        <v>733</v>
      </c>
      <c r="D27" s="79">
        <v>1536</v>
      </c>
    </row>
    <row r="28" spans="1:4" x14ac:dyDescent="0.3">
      <c r="A28" s="92" t="s">
        <v>150</v>
      </c>
      <c r="B28" s="65" t="s">
        <v>151</v>
      </c>
      <c r="C28" s="65"/>
      <c r="D28" s="78"/>
    </row>
    <row r="29" spans="1:4" ht="28.8" x14ac:dyDescent="0.3">
      <c r="A29" s="91" t="s">
        <v>152</v>
      </c>
      <c r="B29" s="66" t="s">
        <v>153</v>
      </c>
      <c r="C29" s="66" t="s">
        <v>735</v>
      </c>
      <c r="D29" s="79">
        <v>27560</v>
      </c>
    </row>
    <row r="30" spans="1:4" ht="28.8" x14ac:dyDescent="0.3">
      <c r="A30" s="92" t="s">
        <v>155</v>
      </c>
      <c r="B30" s="65" t="s">
        <v>156</v>
      </c>
      <c r="C30" s="65" t="s">
        <v>735</v>
      </c>
      <c r="D30" s="78">
        <v>2550</v>
      </c>
    </row>
    <row r="31" spans="1:4" ht="28.8" x14ac:dyDescent="0.3">
      <c r="A31" s="91" t="s">
        <v>158</v>
      </c>
      <c r="B31" s="66" t="s">
        <v>159</v>
      </c>
      <c r="C31" s="66" t="s">
        <v>736</v>
      </c>
      <c r="D31" s="79">
        <v>5040</v>
      </c>
    </row>
    <row r="32" spans="1:4" x14ac:dyDescent="0.3">
      <c r="A32" s="92" t="s">
        <v>161</v>
      </c>
      <c r="B32" s="65" t="s">
        <v>131</v>
      </c>
      <c r="C32" s="65" t="s">
        <v>731</v>
      </c>
      <c r="D32" s="78">
        <v>9600</v>
      </c>
    </row>
    <row r="33" spans="1:6" ht="28.8" x14ac:dyDescent="0.3">
      <c r="A33" s="91" t="s">
        <v>163</v>
      </c>
      <c r="B33" s="66" t="s">
        <v>135</v>
      </c>
      <c r="C33" s="66" t="s">
        <v>737</v>
      </c>
      <c r="D33" s="79">
        <v>2376</v>
      </c>
    </row>
    <row r="34" spans="1:6" x14ac:dyDescent="0.3">
      <c r="A34" s="88">
        <v>3</v>
      </c>
      <c r="B34" s="58" t="s">
        <v>165</v>
      </c>
      <c r="C34" s="58"/>
      <c r="D34" s="75"/>
    </row>
    <row r="35" spans="1:6" x14ac:dyDescent="0.3">
      <c r="A35" s="91" t="s">
        <v>166</v>
      </c>
      <c r="B35" s="66" t="s">
        <v>167</v>
      </c>
      <c r="C35" s="66"/>
      <c r="D35" s="79"/>
    </row>
    <row r="36" spans="1:6" ht="28.8" x14ac:dyDescent="0.3">
      <c r="A36" s="90" t="s">
        <v>168</v>
      </c>
      <c r="B36" s="65" t="s">
        <v>169</v>
      </c>
      <c r="C36" s="170" t="s">
        <v>739</v>
      </c>
      <c r="D36" s="78">
        <v>5700</v>
      </c>
    </row>
    <row r="37" spans="1:6" ht="28.8" x14ac:dyDescent="0.3">
      <c r="A37" s="91" t="s">
        <v>171</v>
      </c>
      <c r="B37" s="66" t="s">
        <v>172</v>
      </c>
      <c r="C37" s="170" t="s">
        <v>739</v>
      </c>
      <c r="D37" s="79">
        <v>9062</v>
      </c>
      <c r="F37" s="168"/>
    </row>
    <row r="38" spans="1:6" x14ac:dyDescent="0.3">
      <c r="A38" s="92" t="s">
        <v>174</v>
      </c>
      <c r="B38" s="65" t="s">
        <v>175</v>
      </c>
      <c r="D38" s="78"/>
    </row>
    <row r="39" spans="1:6" ht="28.8" x14ac:dyDescent="0.3">
      <c r="A39" s="91" t="s">
        <v>176</v>
      </c>
      <c r="B39" s="60" t="s">
        <v>177</v>
      </c>
      <c r="C39" s="169" t="s">
        <v>739</v>
      </c>
      <c r="D39" s="76">
        <v>5700</v>
      </c>
    </row>
    <row r="40" spans="1:6" ht="28.8" x14ac:dyDescent="0.3">
      <c r="A40" s="92" t="s">
        <v>179</v>
      </c>
      <c r="B40" s="62" t="s">
        <v>180</v>
      </c>
      <c r="C40" s="62" t="s">
        <v>731</v>
      </c>
      <c r="D40" s="77">
        <v>9600</v>
      </c>
    </row>
    <row r="41" spans="1:6" ht="28.8" x14ac:dyDescent="0.3">
      <c r="A41" s="91" t="s">
        <v>182</v>
      </c>
      <c r="B41" s="66" t="s">
        <v>183</v>
      </c>
      <c r="C41" s="66" t="s">
        <v>738</v>
      </c>
      <c r="D41" s="79">
        <v>1840</v>
      </c>
    </row>
    <row r="42" spans="1:6" x14ac:dyDescent="0.3">
      <c r="A42" s="93">
        <v>4</v>
      </c>
      <c r="B42" s="67" t="s">
        <v>185</v>
      </c>
      <c r="C42" s="67"/>
      <c r="D42" s="80"/>
    </row>
    <row r="43" spans="1:6" x14ac:dyDescent="0.3">
      <c r="A43" s="94" t="s">
        <v>186</v>
      </c>
      <c r="B43" s="68" t="s">
        <v>187</v>
      </c>
      <c r="C43" s="68"/>
      <c r="D43" s="81"/>
    </row>
    <row r="44" spans="1:6" ht="43.2" x14ac:dyDescent="0.3">
      <c r="A44" s="95" t="s">
        <v>188</v>
      </c>
      <c r="B44" s="69" t="s">
        <v>189</v>
      </c>
      <c r="C44" s="69" t="s">
        <v>665</v>
      </c>
      <c r="D44" s="82">
        <v>200000</v>
      </c>
    </row>
    <row r="45" spans="1:6" ht="72" x14ac:dyDescent="0.3">
      <c r="A45" s="94" t="s">
        <v>191</v>
      </c>
      <c r="B45" s="68" t="s">
        <v>192</v>
      </c>
      <c r="C45" s="141" t="s">
        <v>654</v>
      </c>
      <c r="D45" s="81">
        <v>3400</v>
      </c>
    </row>
    <row r="46" spans="1:6" x14ac:dyDescent="0.3">
      <c r="A46" s="95" t="s">
        <v>194</v>
      </c>
      <c r="B46" s="69" t="s">
        <v>195</v>
      </c>
      <c r="C46" s="69"/>
      <c r="D46" s="82"/>
    </row>
    <row r="47" spans="1:6" ht="43.2" x14ac:dyDescent="0.3">
      <c r="A47" s="94" t="s">
        <v>196</v>
      </c>
      <c r="B47" s="68" t="s">
        <v>197</v>
      </c>
      <c r="C47" s="68" t="s">
        <v>655</v>
      </c>
      <c r="D47" s="81">
        <v>8000</v>
      </c>
    </row>
    <row r="48" spans="1:6" ht="86.4" x14ac:dyDescent="0.3">
      <c r="A48" s="95" t="s">
        <v>199</v>
      </c>
      <c r="B48" s="69" t="s">
        <v>200</v>
      </c>
      <c r="C48" s="69" t="s">
        <v>656</v>
      </c>
      <c r="D48" s="82">
        <v>12800</v>
      </c>
    </row>
    <row r="49" spans="1:4" ht="28.8" x14ac:dyDescent="0.3">
      <c r="A49" s="94" t="s">
        <v>202</v>
      </c>
      <c r="B49" s="68" t="s">
        <v>203</v>
      </c>
      <c r="C49" s="68" t="s">
        <v>660</v>
      </c>
      <c r="D49" s="81">
        <v>12800</v>
      </c>
    </row>
    <row r="50" spans="1:4" x14ac:dyDescent="0.3">
      <c r="A50" s="95" t="s">
        <v>205</v>
      </c>
      <c r="B50" s="69" t="s">
        <v>206</v>
      </c>
      <c r="C50" s="69"/>
      <c r="D50" s="82"/>
    </row>
    <row r="51" spans="1:4" x14ac:dyDescent="0.3">
      <c r="A51" s="94" t="s">
        <v>207</v>
      </c>
      <c r="B51" s="68" t="s">
        <v>208</v>
      </c>
      <c r="C51" s="68"/>
      <c r="D51" s="81"/>
    </row>
    <row r="52" spans="1:4" ht="86.4" x14ac:dyDescent="0.3">
      <c r="A52" s="95" t="s">
        <v>209</v>
      </c>
      <c r="B52" s="69" t="s">
        <v>210</v>
      </c>
      <c r="C52" s="69" t="s">
        <v>657</v>
      </c>
      <c r="D52" s="82">
        <v>38000</v>
      </c>
    </row>
    <row r="53" spans="1:4" x14ac:dyDescent="0.3">
      <c r="A53" s="94" t="s">
        <v>212</v>
      </c>
      <c r="B53" s="68" t="s">
        <v>213</v>
      </c>
      <c r="C53" s="68" t="s">
        <v>658</v>
      </c>
      <c r="D53" s="81">
        <v>38000</v>
      </c>
    </row>
    <row r="54" spans="1:4" x14ac:dyDescent="0.3">
      <c r="A54" s="95" t="s">
        <v>215</v>
      </c>
      <c r="B54" s="69" t="s">
        <v>216</v>
      </c>
      <c r="C54" s="69"/>
      <c r="D54" s="82"/>
    </row>
    <row r="55" spans="1:4" ht="43.2" x14ac:dyDescent="0.3">
      <c r="A55" s="94" t="s">
        <v>217</v>
      </c>
      <c r="B55" s="68" t="s">
        <v>218</v>
      </c>
      <c r="C55" s="68" t="s">
        <v>664</v>
      </c>
      <c r="D55" s="81">
        <v>24300</v>
      </c>
    </row>
    <row r="56" spans="1:4" x14ac:dyDescent="0.3">
      <c r="A56" s="95" t="s">
        <v>220</v>
      </c>
      <c r="B56" s="69" t="s">
        <v>221</v>
      </c>
      <c r="C56" s="69" t="s">
        <v>661</v>
      </c>
      <c r="D56" s="82">
        <v>24300</v>
      </c>
    </row>
    <row r="57" spans="1:4" x14ac:dyDescent="0.3">
      <c r="A57" s="94" t="s">
        <v>223</v>
      </c>
      <c r="B57" s="68" t="s">
        <v>224</v>
      </c>
      <c r="C57" s="69" t="s">
        <v>662</v>
      </c>
      <c r="D57" s="81">
        <v>24300</v>
      </c>
    </row>
    <row r="58" spans="1:4" x14ac:dyDescent="0.3">
      <c r="A58" s="95" t="s">
        <v>226</v>
      </c>
      <c r="B58" s="69" t="s">
        <v>227</v>
      </c>
      <c r="C58" s="69" t="s">
        <v>663</v>
      </c>
      <c r="D58" s="82">
        <v>24300</v>
      </c>
    </row>
    <row r="59" spans="1:4" x14ac:dyDescent="0.3">
      <c r="A59" s="94" t="s">
        <v>229</v>
      </c>
      <c r="B59" s="68" t="s">
        <v>230</v>
      </c>
      <c r="C59" s="68"/>
      <c r="D59" s="81"/>
    </row>
    <row r="60" spans="1:4" ht="43.2" x14ac:dyDescent="0.3">
      <c r="A60" s="95" t="s">
        <v>231</v>
      </c>
      <c r="B60" s="69" t="s">
        <v>232</v>
      </c>
      <c r="C60" s="69" t="s">
        <v>666</v>
      </c>
      <c r="D60" s="82">
        <v>8300</v>
      </c>
    </row>
    <row r="61" spans="1:4" ht="57.6" x14ac:dyDescent="0.3">
      <c r="A61" s="94" t="s">
        <v>235</v>
      </c>
      <c r="B61" s="68" t="s">
        <v>236</v>
      </c>
      <c r="C61" s="68" t="s">
        <v>669</v>
      </c>
      <c r="D61" s="81">
        <v>7720</v>
      </c>
    </row>
    <row r="62" spans="1:4" ht="28.8" x14ac:dyDescent="0.3">
      <c r="A62" s="95" t="s">
        <v>239</v>
      </c>
      <c r="B62" s="69" t="s">
        <v>240</v>
      </c>
      <c r="C62" s="69" t="s">
        <v>667</v>
      </c>
      <c r="D62" s="82">
        <v>8360</v>
      </c>
    </row>
    <row r="63" spans="1:4" x14ac:dyDescent="0.3">
      <c r="A63" s="94" t="s">
        <v>242</v>
      </c>
      <c r="B63" s="68" t="s">
        <v>243</v>
      </c>
      <c r="C63" s="68" t="s">
        <v>668</v>
      </c>
      <c r="D63" s="81">
        <v>7720</v>
      </c>
    </row>
    <row r="64" spans="1:4" ht="43.2" x14ac:dyDescent="0.3">
      <c r="A64" s="95" t="s">
        <v>245</v>
      </c>
      <c r="B64" s="69" t="s">
        <v>246</v>
      </c>
      <c r="C64" s="69" t="s">
        <v>670</v>
      </c>
      <c r="D64" s="82">
        <v>7560</v>
      </c>
    </row>
    <row r="65" spans="1:4" x14ac:dyDescent="0.3">
      <c r="A65" s="88">
        <v>5</v>
      </c>
      <c r="B65" s="58" t="s">
        <v>248</v>
      </c>
      <c r="C65" s="58"/>
      <c r="D65" s="75"/>
    </row>
    <row r="66" spans="1:4" x14ac:dyDescent="0.3">
      <c r="A66" s="92" t="s">
        <v>249</v>
      </c>
      <c r="B66" s="65" t="s">
        <v>250</v>
      </c>
      <c r="C66" s="65"/>
      <c r="D66" s="78">
        <v>1248000</v>
      </c>
    </row>
    <row r="67" spans="1:4" x14ac:dyDescent="0.3">
      <c r="A67" s="91" t="s">
        <v>253</v>
      </c>
      <c r="B67" s="66" t="s">
        <v>581</v>
      </c>
      <c r="C67" s="66"/>
      <c r="D67" s="79">
        <v>350000</v>
      </c>
    </row>
    <row r="68" spans="1:4" x14ac:dyDescent="0.3">
      <c r="A68" s="92" t="s">
        <v>255</v>
      </c>
      <c r="B68" s="65" t="s">
        <v>580</v>
      </c>
      <c r="C68" s="65"/>
      <c r="D68" s="78">
        <v>14000</v>
      </c>
    </row>
    <row r="69" spans="1:4" x14ac:dyDescent="0.3">
      <c r="A69" s="88">
        <v>6</v>
      </c>
      <c r="B69" s="58" t="s">
        <v>257</v>
      </c>
      <c r="C69" s="58"/>
      <c r="D69" s="75"/>
    </row>
    <row r="70" spans="1:4" x14ac:dyDescent="0.3">
      <c r="A70" s="97" t="s">
        <v>258</v>
      </c>
      <c r="B70" s="70" t="s">
        <v>259</v>
      </c>
      <c r="C70" s="70"/>
      <c r="D70" s="83"/>
    </row>
    <row r="71" spans="1:4" s="1" customFormat="1" ht="28.8" x14ac:dyDescent="0.3">
      <c r="A71" s="96" t="s">
        <v>526</v>
      </c>
      <c r="B71" s="71" t="s">
        <v>527</v>
      </c>
      <c r="C71" s="71" t="s">
        <v>659</v>
      </c>
      <c r="D71" s="84">
        <v>2303660</v>
      </c>
    </row>
    <row r="72" spans="1:4" s="1" customFormat="1" x14ac:dyDescent="0.3">
      <c r="A72" s="97" t="s">
        <v>528</v>
      </c>
      <c r="B72" s="70" t="s">
        <v>529</v>
      </c>
      <c r="C72" s="70"/>
      <c r="D72" s="83">
        <v>2301220</v>
      </c>
    </row>
    <row r="73" spans="1:4" s="1" customFormat="1" x14ac:dyDescent="0.3">
      <c r="A73" s="96" t="s">
        <v>530</v>
      </c>
      <c r="B73" s="71" t="s">
        <v>531</v>
      </c>
      <c r="C73" s="71"/>
      <c r="D73" s="84">
        <v>2301220</v>
      </c>
    </row>
    <row r="74" spans="1:4" s="1" customFormat="1" x14ac:dyDescent="0.3">
      <c r="A74" s="97" t="s">
        <v>532</v>
      </c>
      <c r="B74" s="70" t="s">
        <v>533</v>
      </c>
      <c r="C74" s="70"/>
      <c r="D74" s="83">
        <v>2301220</v>
      </c>
    </row>
    <row r="75" spans="1:4" s="1" customFormat="1" ht="19.2" customHeight="1" x14ac:dyDescent="0.3">
      <c r="A75" s="96" t="s">
        <v>534</v>
      </c>
      <c r="B75" s="71" t="s">
        <v>535</v>
      </c>
      <c r="C75" s="71"/>
      <c r="D75" s="84">
        <v>2301220</v>
      </c>
    </row>
    <row r="76" spans="1:4" s="1" customFormat="1" x14ac:dyDescent="0.3">
      <c r="A76" s="97" t="s">
        <v>536</v>
      </c>
      <c r="B76" s="70" t="s">
        <v>537</v>
      </c>
      <c r="C76" s="70"/>
      <c r="D76" s="83">
        <v>2301220</v>
      </c>
    </row>
    <row r="77" spans="1:4" s="1" customFormat="1" x14ac:dyDescent="0.3">
      <c r="A77" s="96" t="s">
        <v>538</v>
      </c>
      <c r="B77" s="71" t="s">
        <v>539</v>
      </c>
      <c r="C77" s="71"/>
      <c r="D77" s="84">
        <v>2301220</v>
      </c>
    </row>
    <row r="78" spans="1:4" s="1" customFormat="1" x14ac:dyDescent="0.3">
      <c r="A78" s="97" t="s">
        <v>540</v>
      </c>
      <c r="B78" s="70" t="s">
        <v>541</v>
      </c>
      <c r="C78" s="70"/>
      <c r="D78" s="83">
        <v>2301220</v>
      </c>
    </row>
    <row r="79" spans="1:4" x14ac:dyDescent="0.3">
      <c r="A79" s="96" t="s">
        <v>262</v>
      </c>
      <c r="B79" s="71" t="s">
        <v>263</v>
      </c>
      <c r="C79" s="71"/>
      <c r="D79" s="84"/>
    </row>
    <row r="80" spans="1:4" x14ac:dyDescent="0.3">
      <c r="A80" s="97" t="s">
        <v>542</v>
      </c>
      <c r="B80" s="70" t="s">
        <v>543</v>
      </c>
      <c r="C80" s="70"/>
      <c r="D80" s="83">
        <v>1250000</v>
      </c>
    </row>
    <row r="81" spans="1:4" x14ac:dyDescent="0.3">
      <c r="A81" s="96" t="s">
        <v>544</v>
      </c>
      <c r="B81" s="71" t="s">
        <v>545</v>
      </c>
      <c r="C81" s="71"/>
      <c r="D81" s="84">
        <v>1250000</v>
      </c>
    </row>
    <row r="82" spans="1:4" x14ac:dyDescent="0.3">
      <c r="A82" s="97" t="s">
        <v>546</v>
      </c>
      <c r="B82" s="70" t="s">
        <v>547</v>
      </c>
      <c r="C82" s="70"/>
      <c r="D82" s="83">
        <v>1250000</v>
      </c>
    </row>
    <row r="83" spans="1:4" x14ac:dyDescent="0.3">
      <c r="A83" s="96" t="s">
        <v>548</v>
      </c>
      <c r="B83" s="71" t="s">
        <v>549</v>
      </c>
      <c r="C83" s="71"/>
      <c r="D83" s="84">
        <v>1250000</v>
      </c>
    </row>
    <row r="84" spans="1:4" x14ac:dyDescent="0.3">
      <c r="A84" s="97" t="s">
        <v>550</v>
      </c>
      <c r="B84" s="70" t="s">
        <v>551</v>
      </c>
      <c r="C84" s="70"/>
      <c r="D84" s="83">
        <v>1250000</v>
      </c>
    </row>
    <row r="85" spans="1:4" x14ac:dyDescent="0.3">
      <c r="A85" s="96" t="s">
        <v>552</v>
      </c>
      <c r="B85" s="71" t="s">
        <v>553</v>
      </c>
      <c r="C85" s="71"/>
      <c r="D85" s="84">
        <v>1250000</v>
      </c>
    </row>
    <row r="86" spans="1:4" x14ac:dyDescent="0.3">
      <c r="A86" s="97" t="s">
        <v>554</v>
      </c>
      <c r="B86" s="70" t="s">
        <v>555</v>
      </c>
      <c r="C86" s="70"/>
      <c r="D86" s="83">
        <v>1250000</v>
      </c>
    </row>
    <row r="87" spans="1:4" x14ac:dyDescent="0.3">
      <c r="A87" s="96" t="s">
        <v>556</v>
      </c>
      <c r="B87" s="71" t="s">
        <v>557</v>
      </c>
      <c r="C87" s="71"/>
      <c r="D87" s="84">
        <v>1250000</v>
      </c>
    </row>
    <row r="88" spans="1:4" x14ac:dyDescent="0.3">
      <c r="A88" s="88">
        <v>7</v>
      </c>
      <c r="B88" s="58" t="s">
        <v>266</v>
      </c>
      <c r="C88" s="58"/>
      <c r="D88" s="75"/>
    </row>
    <row r="89" spans="1:4" x14ac:dyDescent="0.3">
      <c r="A89" s="96" t="s">
        <v>267</v>
      </c>
      <c r="B89" s="60" t="s">
        <v>268</v>
      </c>
      <c r="C89" s="60"/>
      <c r="D89" s="84"/>
    </row>
    <row r="90" spans="1:4" ht="28.8" x14ac:dyDescent="0.3">
      <c r="A90" s="97" t="s">
        <v>269</v>
      </c>
      <c r="B90" s="70" t="s">
        <v>270</v>
      </c>
      <c r="C90" s="70"/>
      <c r="D90" s="83">
        <v>318600</v>
      </c>
    </row>
    <row r="91" spans="1:4" ht="28.8" x14ac:dyDescent="0.3">
      <c r="A91" s="96" t="s">
        <v>273</v>
      </c>
      <c r="B91" s="71" t="s">
        <v>274</v>
      </c>
      <c r="C91" s="71"/>
      <c r="D91" s="84">
        <v>364100</v>
      </c>
    </row>
    <row r="92" spans="1:4" ht="28.8" x14ac:dyDescent="0.3">
      <c r="A92" s="97" t="s">
        <v>277</v>
      </c>
      <c r="B92" s="70" t="s">
        <v>582</v>
      </c>
      <c r="C92" s="70"/>
      <c r="D92" s="83">
        <v>75000</v>
      </c>
    </row>
    <row r="93" spans="1:4" x14ac:dyDescent="0.3">
      <c r="A93" s="96" t="s">
        <v>279</v>
      </c>
      <c r="B93" s="71" t="s">
        <v>280</v>
      </c>
      <c r="C93" s="71"/>
      <c r="D93" s="84"/>
    </row>
    <row r="94" spans="1:4" ht="28.8" x14ac:dyDescent="0.3">
      <c r="A94" s="97" t="s">
        <v>281</v>
      </c>
      <c r="B94" s="70" t="s">
        <v>282</v>
      </c>
      <c r="C94" s="70"/>
      <c r="D94" s="83">
        <v>5940000</v>
      </c>
    </row>
    <row r="95" spans="1:4" x14ac:dyDescent="0.3">
      <c r="A95" s="97" t="s">
        <v>284</v>
      </c>
      <c r="B95" s="70" t="s">
        <v>285</v>
      </c>
      <c r="C95" s="70"/>
      <c r="D95" s="83">
        <v>20000</v>
      </c>
    </row>
    <row r="96" spans="1:4" ht="28.8" x14ac:dyDescent="0.3">
      <c r="A96" s="96" t="s">
        <v>287</v>
      </c>
      <c r="B96" s="71" t="s">
        <v>288</v>
      </c>
      <c r="C96" s="71"/>
      <c r="D96" s="84">
        <v>20000</v>
      </c>
    </row>
    <row r="97" spans="1:4" ht="28.8" x14ac:dyDescent="0.3">
      <c r="A97" s="97" t="s">
        <v>290</v>
      </c>
      <c r="B97" s="70" t="s">
        <v>291</v>
      </c>
      <c r="C97" s="70"/>
      <c r="D97" s="83">
        <v>20000</v>
      </c>
    </row>
    <row r="98" spans="1:4" x14ac:dyDescent="0.3">
      <c r="A98" s="96" t="s">
        <v>293</v>
      </c>
      <c r="B98" s="71" t="s">
        <v>294</v>
      </c>
      <c r="C98" s="71"/>
      <c r="D98" s="84"/>
    </row>
    <row r="99" spans="1:4" x14ac:dyDescent="0.3">
      <c r="A99" s="97" t="s">
        <v>295</v>
      </c>
      <c r="B99" s="70" t="s">
        <v>296</v>
      </c>
      <c r="C99" s="70"/>
      <c r="D99" s="83">
        <v>403000</v>
      </c>
    </row>
    <row r="100" spans="1:4" ht="28.8" x14ac:dyDescent="0.3">
      <c r="A100" s="96" t="s">
        <v>298</v>
      </c>
      <c r="B100" s="71" t="s">
        <v>299</v>
      </c>
      <c r="C100" s="71"/>
      <c r="D100" s="84"/>
    </row>
    <row r="101" spans="1:4" ht="28.8" x14ac:dyDescent="0.3">
      <c r="A101" s="95" t="s">
        <v>301</v>
      </c>
      <c r="B101" s="70" t="s">
        <v>302</v>
      </c>
      <c r="C101" s="70"/>
      <c r="D101" s="83">
        <v>60000</v>
      </c>
    </row>
    <row r="102" spans="1:4" ht="28.8" x14ac:dyDescent="0.3">
      <c r="A102" s="96" t="s">
        <v>304</v>
      </c>
      <c r="B102" s="71" t="s">
        <v>305</v>
      </c>
      <c r="C102" s="71"/>
      <c r="D102" s="84">
        <v>72000</v>
      </c>
    </row>
    <row r="103" spans="1:4" x14ac:dyDescent="0.3">
      <c r="A103" s="97" t="s">
        <v>308</v>
      </c>
      <c r="B103" s="70" t="s">
        <v>309</v>
      </c>
      <c r="C103" s="70"/>
      <c r="D103" s="83">
        <v>60000</v>
      </c>
    </row>
    <row r="104" spans="1:4" ht="28.8" x14ac:dyDescent="0.3">
      <c r="A104" s="96" t="s">
        <v>311</v>
      </c>
      <c r="B104" s="71" t="s">
        <v>312</v>
      </c>
      <c r="C104" s="71"/>
      <c r="D104" s="84">
        <v>500000</v>
      </c>
    </row>
    <row r="105" spans="1:4" x14ac:dyDescent="0.3">
      <c r="A105" s="97" t="s">
        <v>314</v>
      </c>
      <c r="B105" s="70" t="s">
        <v>315</v>
      </c>
      <c r="C105" s="70"/>
      <c r="D105" s="83">
        <v>120000</v>
      </c>
    </row>
    <row r="106" spans="1:4" x14ac:dyDescent="0.3">
      <c r="A106" s="96" t="s">
        <v>317</v>
      </c>
      <c r="B106" s="71" t="s">
        <v>318</v>
      </c>
      <c r="C106" s="71"/>
      <c r="D106" s="84">
        <v>25000</v>
      </c>
    </row>
    <row r="107" spans="1:4" ht="28.8" x14ac:dyDescent="0.3">
      <c r="A107" s="95" t="s">
        <v>320</v>
      </c>
      <c r="B107" s="70" t="s">
        <v>321</v>
      </c>
      <c r="C107" s="70"/>
      <c r="D107" s="83">
        <v>352000</v>
      </c>
    </row>
    <row r="108" spans="1:4" ht="28.8" x14ac:dyDescent="0.3">
      <c r="A108" s="96" t="s">
        <v>324</v>
      </c>
      <c r="B108" s="71" t="s">
        <v>325</v>
      </c>
      <c r="C108" s="71"/>
      <c r="D108" s="84">
        <v>11000</v>
      </c>
    </row>
    <row r="109" spans="1:4" x14ac:dyDescent="0.3">
      <c r="A109" s="97" t="s">
        <v>327</v>
      </c>
      <c r="B109" s="70" t="s">
        <v>328</v>
      </c>
      <c r="C109" s="70"/>
      <c r="D109" s="83">
        <v>6000</v>
      </c>
    </row>
    <row r="110" spans="1:4" x14ac:dyDescent="0.3">
      <c r="A110" s="96" t="s">
        <v>330</v>
      </c>
      <c r="B110" s="71" t="s">
        <v>331</v>
      </c>
      <c r="C110" s="71"/>
      <c r="D110" s="84"/>
    </row>
    <row r="111" spans="1:4" ht="28.8" x14ac:dyDescent="0.3">
      <c r="A111" s="95" t="s">
        <v>332</v>
      </c>
      <c r="B111" s="70" t="s">
        <v>333</v>
      </c>
      <c r="C111" s="70"/>
      <c r="D111" s="83">
        <v>16000</v>
      </c>
    </row>
    <row r="112" spans="1:4" ht="28.8" x14ac:dyDescent="0.3">
      <c r="A112" s="96" t="s">
        <v>336</v>
      </c>
      <c r="B112" s="71" t="s">
        <v>337</v>
      </c>
      <c r="C112" s="71"/>
      <c r="D112" s="84">
        <v>31000</v>
      </c>
    </row>
    <row r="113" spans="1:4" x14ac:dyDescent="0.3">
      <c r="A113" s="97" t="s">
        <v>339</v>
      </c>
      <c r="B113" s="70" t="s">
        <v>340</v>
      </c>
      <c r="C113" s="70"/>
      <c r="D113" s="83">
        <v>44000</v>
      </c>
    </row>
    <row r="114" spans="1:4" x14ac:dyDescent="0.3">
      <c r="A114" s="96" t="s">
        <v>342</v>
      </c>
      <c r="B114" s="71" t="s">
        <v>343</v>
      </c>
      <c r="C114" s="71"/>
      <c r="D114" s="84">
        <v>6500</v>
      </c>
    </row>
    <row r="115" spans="1:4" x14ac:dyDescent="0.3">
      <c r="A115" s="95" t="s">
        <v>345</v>
      </c>
      <c r="B115" s="70" t="s">
        <v>346</v>
      </c>
      <c r="C115" s="70"/>
      <c r="D115" s="83">
        <v>12500</v>
      </c>
    </row>
    <row r="116" spans="1:4" x14ac:dyDescent="0.3">
      <c r="A116" s="96" t="s">
        <v>349</v>
      </c>
      <c r="B116" s="71" t="s">
        <v>350</v>
      </c>
      <c r="C116" s="71"/>
      <c r="D116" s="84">
        <v>3000</v>
      </c>
    </row>
    <row r="117" spans="1:4" x14ac:dyDescent="0.3">
      <c r="A117" s="99">
        <v>8</v>
      </c>
      <c r="B117" s="73" t="s">
        <v>353</v>
      </c>
      <c r="C117" s="73"/>
      <c r="D117" s="85"/>
    </row>
    <row r="118" spans="1:4" x14ac:dyDescent="0.3">
      <c r="A118" s="61">
        <v>8.1</v>
      </c>
      <c r="B118" s="62" t="s">
        <v>354</v>
      </c>
      <c r="C118" s="62"/>
      <c r="D118" s="77"/>
    </row>
    <row r="119" spans="1:4" x14ac:dyDescent="0.3">
      <c r="A119" s="63" t="s">
        <v>355</v>
      </c>
      <c r="B119" s="66" t="s">
        <v>356</v>
      </c>
      <c r="C119" s="66"/>
      <c r="D119" s="79">
        <v>37000</v>
      </c>
    </row>
    <row r="120" spans="1:4" x14ac:dyDescent="0.3">
      <c r="A120" s="64" t="s">
        <v>358</v>
      </c>
      <c r="B120" s="65" t="s">
        <v>359</v>
      </c>
      <c r="C120" s="65"/>
      <c r="D120" s="78">
        <v>10000</v>
      </c>
    </row>
    <row r="121" spans="1:4" x14ac:dyDescent="0.3">
      <c r="A121" s="100">
        <v>8.1999999999999993</v>
      </c>
      <c r="B121" s="102" t="s">
        <v>361</v>
      </c>
      <c r="C121" s="102"/>
      <c r="D121" s="104"/>
    </row>
    <row r="122" spans="1:4" x14ac:dyDescent="0.3">
      <c r="A122" s="64" t="s">
        <v>362</v>
      </c>
      <c r="B122" s="65" t="s">
        <v>363</v>
      </c>
      <c r="C122" s="65"/>
      <c r="D122" s="78">
        <v>10000</v>
      </c>
    </row>
    <row r="123" spans="1:4" x14ac:dyDescent="0.3">
      <c r="A123" s="63" t="s">
        <v>365</v>
      </c>
      <c r="B123" s="66" t="s">
        <v>366</v>
      </c>
      <c r="C123" s="66"/>
      <c r="D123" s="79">
        <v>1000</v>
      </c>
    </row>
    <row r="124" spans="1:4" x14ac:dyDescent="0.3">
      <c r="A124" s="64" t="s">
        <v>369</v>
      </c>
      <c r="B124" s="65" t="s">
        <v>370</v>
      </c>
      <c r="C124" s="65"/>
      <c r="D124" s="78">
        <v>16200</v>
      </c>
    </row>
    <row r="125" spans="1:4" x14ac:dyDescent="0.3">
      <c r="A125" s="59">
        <v>8.3000000000000007</v>
      </c>
      <c r="B125" s="60" t="s">
        <v>372</v>
      </c>
      <c r="C125" s="60"/>
      <c r="D125" s="76"/>
    </row>
    <row r="126" spans="1:4" x14ac:dyDescent="0.3">
      <c r="A126" s="64" t="s">
        <v>373</v>
      </c>
      <c r="B126" s="65" t="s">
        <v>374</v>
      </c>
      <c r="C126" s="65"/>
      <c r="D126" s="78">
        <v>6000</v>
      </c>
    </row>
    <row r="127" spans="1:4" x14ac:dyDescent="0.3">
      <c r="A127" s="63" t="s">
        <v>377</v>
      </c>
      <c r="B127" s="66" t="s">
        <v>378</v>
      </c>
      <c r="C127" s="66"/>
      <c r="D127" s="79">
        <v>80000</v>
      </c>
    </row>
    <row r="128" spans="1:4" x14ac:dyDescent="0.3">
      <c r="A128" s="64" t="s">
        <v>380</v>
      </c>
      <c r="B128" s="62" t="s">
        <v>381</v>
      </c>
      <c r="C128" s="62"/>
      <c r="D128" s="77">
        <v>20000</v>
      </c>
    </row>
    <row r="129" spans="1:4" x14ac:dyDescent="0.3">
      <c r="A129" s="63" t="s">
        <v>383</v>
      </c>
      <c r="B129" s="66" t="s">
        <v>384</v>
      </c>
      <c r="C129" s="66"/>
      <c r="D129" s="79">
        <v>20000</v>
      </c>
    </row>
  </sheetData>
  <phoneticPr fontId="17" type="noConversion"/>
  <pageMargins left="0.7" right="0.7" top="0.75" bottom="0.75" header="0.3" footer="0.3"/>
  <ignoredErrors>
    <ignoredError sqref="A6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6D6FDA-9517-4F15-B930-8192C0B951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9</vt:i4>
      </vt:variant>
      <vt:variant>
        <vt:lpstr>Intervalli denominati</vt:lpstr>
      </vt:variant>
      <vt:variant>
        <vt:i4>1</vt:i4>
      </vt:variant>
    </vt:vector>
  </HeadingPairs>
  <TitlesOfParts>
    <vt:vector size="10" baseType="lpstr">
      <vt:lpstr>WBS</vt:lpstr>
      <vt:lpstr>WP Glossary</vt:lpstr>
      <vt:lpstr>To DO</vt:lpstr>
      <vt:lpstr>OBS</vt:lpstr>
      <vt:lpstr>RAM</vt:lpstr>
      <vt:lpstr>external resources</vt:lpstr>
      <vt:lpstr>indirect Costs</vt:lpstr>
      <vt:lpstr>Labor Costs</vt:lpstr>
      <vt:lpstr>Cost Estimation</vt:lpstr>
      <vt:lpst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Pouria Khajehpour</dc:creator>
  <cp:keywords/>
  <dc:description/>
  <cp:lastModifiedBy>Alessandro Lusardi</cp:lastModifiedBy>
  <cp:revision/>
  <dcterms:created xsi:type="dcterms:W3CDTF">2025-05-01T15:44:16Z</dcterms:created>
  <dcterms:modified xsi:type="dcterms:W3CDTF">2025-05-26T13:48:09Z</dcterms:modified>
  <cp:category/>
  <cp:contentStatus/>
</cp:coreProperties>
</file>